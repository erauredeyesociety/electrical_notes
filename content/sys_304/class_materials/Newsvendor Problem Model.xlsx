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erauedu-my.sharepoint.com/personal/nagarav1_erau_edu/Documents/2 Teaching/SYS 304/Fall 2025/Classes/"/>
    </mc:Choice>
  </mc:AlternateContent>
  <xr:revisionPtr revIDLastSave="37" documentId="13_ncr:40009_{011DC04B-70B3-4FA2-832E-4864C8193491}" xr6:coauthVersionLast="47" xr6:coauthVersionMax="47" xr10:uidLastSave="{867907EC-51A7-4758-BEA1-FAB5B46F2226}"/>
  <bookViews>
    <workbookView xWindow="9510" yWindow="-90" windowWidth="19380" windowHeight="1026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E33" i="1"/>
  <c r="O33" i="1" s="1"/>
  <c r="E32" i="1"/>
  <c r="E31" i="1"/>
  <c r="O31" i="1" s="1"/>
  <c r="E30" i="1"/>
  <c r="E29" i="1"/>
  <c r="J29" i="1" s="1"/>
  <c r="E28" i="1"/>
  <c r="E27" i="1"/>
  <c r="I27" i="1" s="1"/>
  <c r="E26" i="1"/>
  <c r="J26" i="1" s="1"/>
  <c r="E25" i="1"/>
  <c r="F25" i="1" s="1"/>
  <c r="E24" i="1"/>
  <c r="E23" i="1"/>
  <c r="R23" i="1" s="1"/>
  <c r="E22" i="1"/>
  <c r="L22" i="1" s="1"/>
  <c r="E21" i="1"/>
  <c r="M21" i="1" s="1"/>
  <c r="E20" i="1"/>
  <c r="O20" i="1" s="1"/>
  <c r="E19" i="1"/>
  <c r="G19" i="1" s="1"/>
  <c r="E18" i="1"/>
  <c r="E17" i="1"/>
  <c r="J17" i="1" s="1"/>
  <c r="E16" i="1"/>
  <c r="E15" i="1"/>
  <c r="O15" i="1" s="1"/>
  <c r="E14" i="1"/>
  <c r="E13" i="1"/>
  <c r="O13" i="1" s="1"/>
  <c r="E12" i="1"/>
  <c r="E11" i="1"/>
  <c r="I11" i="1" s="1"/>
  <c r="E10" i="1"/>
  <c r="E9" i="1"/>
  <c r="L9" i="1" s="1"/>
  <c r="E8" i="1"/>
  <c r="L8" i="1" s="1"/>
  <c r="E7" i="1"/>
  <c r="G7" i="1" s="1"/>
  <c r="E6" i="1"/>
  <c r="E5" i="1"/>
  <c r="L5" i="1" s="1"/>
  <c r="F4" i="1" l="1"/>
  <c r="H4" i="1" s="1"/>
  <c r="P25" i="1"/>
  <c r="R33" i="1"/>
  <c r="M23" i="1"/>
  <c r="F33" i="1"/>
  <c r="R17" i="1"/>
  <c r="I33" i="1"/>
  <c r="L33" i="1"/>
  <c r="S29" i="1"/>
  <c r="F13" i="1"/>
  <c r="I5" i="1"/>
  <c r="F5" i="1"/>
  <c r="J31" i="1"/>
  <c r="P27" i="1"/>
  <c r="I21" i="1"/>
  <c r="L25" i="1"/>
  <c r="L29" i="1"/>
  <c r="J13" i="1"/>
  <c r="R11" i="1"/>
  <c r="G31" i="1"/>
  <c r="J23" i="1"/>
  <c r="O27" i="1"/>
  <c r="F11" i="1"/>
  <c r="R15" i="1"/>
  <c r="L31" i="1"/>
  <c r="P5" i="1"/>
  <c r="R25" i="1"/>
  <c r="L23" i="1"/>
  <c r="F15" i="1"/>
  <c r="S5" i="1"/>
  <c r="S33" i="1"/>
  <c r="J33" i="1"/>
  <c r="F31" i="1"/>
  <c r="P23" i="1"/>
  <c r="M15" i="1"/>
  <c r="J19" i="1"/>
  <c r="F27" i="1"/>
  <c r="J15" i="1"/>
  <c r="R27" i="1"/>
  <c r="G11" i="1"/>
  <c r="I15" i="1"/>
  <c r="S31" i="1"/>
  <c r="P11" i="1"/>
  <c r="L19" i="1"/>
  <c r="L27" i="1"/>
  <c r="R31" i="1"/>
  <c r="G23" i="1"/>
  <c r="I19" i="1"/>
  <c r="P29" i="1"/>
  <c r="P17" i="1"/>
  <c r="G17" i="1"/>
  <c r="R13" i="1"/>
  <c r="L17" i="1"/>
  <c r="O29" i="1"/>
  <c r="O5" i="1"/>
  <c r="M25" i="1"/>
  <c r="I25" i="1"/>
  <c r="G13" i="1"/>
  <c r="J25" i="1"/>
  <c r="F21" i="1"/>
  <c r="O17" i="1"/>
  <c r="S9" i="1"/>
  <c r="P33" i="1"/>
  <c r="Q33" i="1" s="1"/>
  <c r="M29" i="1"/>
  <c r="S4" i="1"/>
  <c r="J4" i="1"/>
  <c r="L4" i="1"/>
  <c r="P4" i="1"/>
  <c r="I4" i="1"/>
  <c r="F8" i="1"/>
  <c r="O8" i="1"/>
  <c r="R8" i="1"/>
  <c r="I8" i="1"/>
  <c r="J8" i="1"/>
  <c r="P8" i="1"/>
  <c r="G8" i="1"/>
  <c r="J12" i="1"/>
  <c r="I12" i="1"/>
  <c r="L12" i="1"/>
  <c r="G12" i="1"/>
  <c r="S12" i="1"/>
  <c r="R16" i="1"/>
  <c r="I16" i="1"/>
  <c r="G16" i="1"/>
  <c r="P16" i="1"/>
  <c r="I20" i="1"/>
  <c r="R20" i="1"/>
  <c r="L20" i="1"/>
  <c r="F20" i="1"/>
  <c r="M20" i="1"/>
  <c r="S20" i="1"/>
  <c r="G20" i="1"/>
  <c r="J20" i="1"/>
  <c r="R24" i="1"/>
  <c r="P24" i="1"/>
  <c r="I24" i="1"/>
  <c r="L24" i="1"/>
  <c r="G24" i="1"/>
  <c r="S24" i="1"/>
  <c r="I28" i="1"/>
  <c r="F28" i="1"/>
  <c r="O28" i="1"/>
  <c r="G28" i="1"/>
  <c r="J28" i="1"/>
  <c r="R28" i="1"/>
  <c r="L28" i="1"/>
  <c r="P28" i="1"/>
  <c r="F32" i="1"/>
  <c r="J32" i="1"/>
  <c r="R32" i="1"/>
  <c r="L32" i="1"/>
  <c r="P32" i="1"/>
  <c r="G32" i="1"/>
  <c r="M32" i="1"/>
  <c r="I32" i="1"/>
  <c r="P20" i="1"/>
  <c r="Q20" i="1" s="1"/>
  <c r="O12" i="1"/>
  <c r="M16" i="1"/>
  <c r="M8" i="1"/>
  <c r="N8" i="1" s="1"/>
  <c r="P12" i="1"/>
  <c r="J16" i="1"/>
  <c r="S28" i="1"/>
  <c r="S8" i="1"/>
  <c r="O4" i="1"/>
  <c r="M28" i="1"/>
  <c r="M24" i="1"/>
  <c r="P9" i="1"/>
  <c r="I29" i="1"/>
  <c r="K29" i="1" s="1"/>
  <c r="I9" i="1"/>
  <c r="G29" i="1"/>
  <c r="G9" i="1"/>
  <c r="S25" i="1"/>
  <c r="O25" i="1"/>
  <c r="J21" i="1"/>
  <c r="S17" i="1"/>
  <c r="F29" i="1"/>
  <c r="L13" i="1"/>
  <c r="J9" i="1"/>
  <c r="J5" i="1"/>
  <c r="M9" i="1"/>
  <c r="N9" i="1" s="1"/>
  <c r="P21" i="1"/>
  <c r="P13" i="1"/>
  <c r="Q13" i="1" s="1"/>
  <c r="I17" i="1"/>
  <c r="K17" i="1" s="1"/>
  <c r="G25" i="1"/>
  <c r="H25" i="1" s="1"/>
  <c r="R29" i="1"/>
  <c r="R9" i="1"/>
  <c r="O21" i="1"/>
  <c r="F17" i="1"/>
  <c r="S13" i="1"/>
  <c r="G33" i="1"/>
  <c r="M17" i="1"/>
  <c r="M33" i="1"/>
  <c r="P15" i="1"/>
  <c r="Q15" i="1" s="1"/>
  <c r="M11" i="1"/>
  <c r="S23" i="1"/>
  <c r="T23" i="1" s="1"/>
  <c r="O23" i="1"/>
  <c r="S19" i="1"/>
  <c r="O19" i="1"/>
  <c r="L15" i="1"/>
  <c r="L11" i="1"/>
  <c r="R19" i="1"/>
  <c r="G15" i="1"/>
  <c r="G27" i="1"/>
  <c r="I23" i="1"/>
  <c r="P19" i="1"/>
  <c r="M27" i="1"/>
  <c r="M19" i="1"/>
  <c r="F23" i="1"/>
  <c r="F19" i="1"/>
  <c r="H19" i="1" s="1"/>
  <c r="S27" i="1"/>
  <c r="J27" i="1"/>
  <c r="K27" i="1" s="1"/>
  <c r="S15" i="1"/>
  <c r="O11" i="1"/>
  <c r="J7" i="1"/>
  <c r="P31" i="1"/>
  <c r="Q31" i="1" s="1"/>
  <c r="M31" i="1"/>
  <c r="O6" i="1"/>
  <c r="M6" i="1"/>
  <c r="L6" i="1"/>
  <c r="G6" i="1"/>
  <c r="F6" i="1"/>
  <c r="J6" i="1"/>
  <c r="R6" i="1"/>
  <c r="L10" i="1"/>
  <c r="J10" i="1"/>
  <c r="O18" i="1"/>
  <c r="G18" i="1"/>
  <c r="J18" i="1"/>
  <c r="F18" i="1"/>
  <c r="M14" i="1"/>
  <c r="R14" i="1"/>
  <c r="S14" i="1"/>
  <c r="I30" i="1"/>
  <c r="F30" i="1"/>
  <c r="L30" i="1"/>
  <c r="I7" i="1"/>
  <c r="O7" i="1"/>
  <c r="F7" i="1"/>
  <c r="H7" i="1" s="1"/>
  <c r="S10" i="1"/>
  <c r="M10" i="1"/>
  <c r="G10" i="1"/>
  <c r="F10" i="1"/>
  <c r="P10" i="1"/>
  <c r="I14" i="1"/>
  <c r="P14" i="1"/>
  <c r="S18" i="1"/>
  <c r="R18" i="1"/>
  <c r="P18" i="1"/>
  <c r="O22" i="1"/>
  <c r="P22" i="1"/>
  <c r="S26" i="1"/>
  <c r="R26" i="1"/>
  <c r="F26" i="1"/>
  <c r="P26" i="1"/>
  <c r="R30" i="1"/>
  <c r="P30" i="1"/>
  <c r="M7" i="1"/>
  <c r="G14" i="1"/>
  <c r="O14" i="1"/>
  <c r="I10" i="1"/>
  <c r="M30" i="1"/>
  <c r="I26" i="1"/>
  <c r="K26" i="1" s="1"/>
  <c r="R22" i="1"/>
  <c r="M22" i="1"/>
  <c r="N22" i="1" s="1"/>
  <c r="S7" i="1"/>
  <c r="L7" i="1"/>
  <c r="L14" i="1"/>
  <c r="M4" i="1"/>
  <c r="R4" i="1"/>
  <c r="J11" i="1"/>
  <c r="K11" i="1" s="1"/>
  <c r="S11" i="1"/>
  <c r="P7" i="1"/>
  <c r="F22" i="1"/>
  <c r="F14" i="1"/>
  <c r="G30" i="1"/>
  <c r="O30" i="1"/>
  <c r="M26" i="1"/>
  <c r="G22" i="1"/>
  <c r="I18" i="1"/>
  <c r="R7" i="1"/>
  <c r="S30" i="1"/>
  <c r="J14" i="1"/>
  <c r="J22" i="1"/>
  <c r="J30" i="1"/>
  <c r="L26" i="1"/>
  <c r="M5" i="1"/>
  <c r="N5" i="1" s="1"/>
  <c r="R5" i="1"/>
  <c r="G5" i="1"/>
  <c r="F12" i="1"/>
  <c r="M12" i="1"/>
  <c r="R12" i="1"/>
  <c r="F16" i="1"/>
  <c r="O16" i="1"/>
  <c r="S16" i="1"/>
  <c r="L16" i="1"/>
  <c r="F24" i="1"/>
  <c r="O24" i="1"/>
  <c r="J24" i="1"/>
  <c r="R10" i="1"/>
  <c r="O10" i="1"/>
  <c r="G26" i="1"/>
  <c r="O26" i="1"/>
  <c r="I22" i="1"/>
  <c r="M18" i="1"/>
  <c r="S22" i="1"/>
  <c r="L18" i="1"/>
  <c r="S6" i="1"/>
  <c r="I6" i="1"/>
  <c r="P6" i="1"/>
  <c r="O9" i="1"/>
  <c r="F9" i="1"/>
  <c r="M13" i="1"/>
  <c r="I13" i="1"/>
  <c r="O32" i="1"/>
  <c r="G21" i="1"/>
  <c r="R21" i="1"/>
  <c r="S21" i="1"/>
  <c r="L21" i="1"/>
  <c r="N21" i="1" s="1"/>
  <c r="S32" i="1"/>
  <c r="I31" i="1"/>
  <c r="T33" i="1" l="1"/>
  <c r="N26" i="1"/>
  <c r="H23" i="1"/>
  <c r="Q27" i="1"/>
  <c r="N29" i="1"/>
  <c r="N23" i="1"/>
  <c r="T17" i="1"/>
  <c r="K31" i="1"/>
  <c r="H24" i="1"/>
  <c r="K23" i="1"/>
  <c r="H33" i="1"/>
  <c r="T29" i="1"/>
  <c r="Q25" i="1"/>
  <c r="H13" i="1"/>
  <c r="K32" i="1"/>
  <c r="N33" i="1"/>
  <c r="N31" i="1"/>
  <c r="T15" i="1"/>
  <c r="K33" i="1"/>
  <c r="H11" i="1"/>
  <c r="T32" i="1"/>
  <c r="K21" i="1"/>
  <c r="H21" i="1"/>
  <c r="Q29" i="1"/>
  <c r="T31" i="1"/>
  <c r="K15" i="1"/>
  <c r="T11" i="1"/>
  <c r="H29" i="1"/>
  <c r="N25" i="1"/>
  <c r="H31" i="1"/>
  <c r="H27" i="1"/>
  <c r="Q5" i="1"/>
  <c r="H5" i="1"/>
  <c r="T5" i="1"/>
  <c r="Q11" i="1"/>
  <c r="K5" i="1"/>
  <c r="H17" i="1"/>
  <c r="T27" i="1"/>
  <c r="N27" i="1"/>
  <c r="N15" i="1"/>
  <c r="K25" i="1"/>
  <c r="T25" i="1"/>
  <c r="T6" i="1"/>
  <c r="H15" i="1"/>
  <c r="K8" i="1"/>
  <c r="K13" i="1"/>
  <c r="T16" i="1"/>
  <c r="N17" i="1"/>
  <c r="K19" i="1"/>
  <c r="K28" i="1"/>
  <c r="H16" i="1"/>
  <c r="T4" i="1"/>
  <c r="N19" i="1"/>
  <c r="H12" i="1"/>
  <c r="Q32" i="1"/>
  <c r="Q9" i="1"/>
  <c r="N16" i="1"/>
  <c r="Q23" i="1"/>
  <c r="H32" i="1"/>
  <c r="H20" i="1"/>
  <c r="K4" i="1"/>
  <c r="K9" i="1"/>
  <c r="T9" i="1"/>
  <c r="Q30" i="1"/>
  <c r="Q12" i="1"/>
  <c r="H28" i="1"/>
  <c r="T20" i="1"/>
  <c r="Q8" i="1"/>
  <c r="T13" i="1"/>
  <c r="Q21" i="1"/>
  <c r="N12" i="1"/>
  <c r="N32" i="1"/>
  <c r="Q28" i="1"/>
  <c r="T24" i="1"/>
  <c r="Q17" i="1"/>
  <c r="Q24" i="1"/>
  <c r="K16" i="1"/>
  <c r="H9" i="1"/>
  <c r="T8" i="1"/>
  <c r="T12" i="1"/>
  <c r="Q6" i="1"/>
  <c r="K24" i="1"/>
  <c r="N14" i="1"/>
  <c r="K10" i="1"/>
  <c r="Q19" i="1"/>
  <c r="Q16" i="1"/>
  <c r="N28" i="1"/>
  <c r="N20" i="1"/>
  <c r="K12" i="1"/>
  <c r="T28" i="1"/>
  <c r="N24" i="1"/>
  <c r="K20" i="1"/>
  <c r="N11" i="1"/>
  <c r="H8" i="1"/>
  <c r="N13" i="1"/>
  <c r="K6" i="1"/>
  <c r="N4" i="1"/>
  <c r="Q4" i="1"/>
  <c r="K7" i="1"/>
  <c r="T19" i="1"/>
  <c r="T21" i="1"/>
  <c r="T14" i="1"/>
  <c r="K22" i="1"/>
  <c r="T10" i="1"/>
  <c r="K30" i="1"/>
  <c r="H6" i="1"/>
  <c r="N7" i="1"/>
  <c r="N6" i="1"/>
  <c r="N30" i="1"/>
  <c r="H22" i="1"/>
  <c r="N10" i="1"/>
  <c r="K18" i="1"/>
  <c r="Q22" i="1"/>
  <c r="N18" i="1"/>
  <c r="Q26" i="1"/>
  <c r="H30" i="1"/>
  <c r="Q18" i="1"/>
  <c r="K14" i="1"/>
  <c r="H18" i="1"/>
  <c r="T22" i="1"/>
  <c r="Q14" i="1"/>
  <c r="T30" i="1"/>
  <c r="T18" i="1"/>
  <c r="H10" i="1"/>
  <c r="Q10" i="1"/>
  <c r="H26" i="1"/>
  <c r="Q7" i="1"/>
  <c r="T7" i="1"/>
  <c r="H14" i="1"/>
  <c r="T26" i="1"/>
  <c r="H36" i="1" l="1"/>
  <c r="H34" i="1"/>
  <c r="G44" i="1"/>
  <c r="G39" i="1"/>
  <c r="H39" i="1" s="1"/>
  <c r="H35" i="1"/>
  <c r="J46" i="1"/>
  <c r="M42" i="1"/>
  <c r="N35" i="1"/>
  <c r="M44" i="1"/>
  <c r="N36" i="1"/>
  <c r="J45" i="1"/>
  <c r="M45" i="1"/>
  <c r="G42" i="1"/>
  <c r="J41" i="1"/>
  <c r="M43" i="1"/>
  <c r="M40" i="1"/>
  <c r="J42" i="1"/>
  <c r="J40" i="1"/>
  <c r="K34" i="1"/>
  <c r="N34" i="1"/>
  <c r="J44" i="1"/>
  <c r="J39" i="1"/>
  <c r="K39" i="1" s="1"/>
  <c r="K35" i="1"/>
  <c r="K36" i="1"/>
  <c r="M46" i="1"/>
  <c r="Q34" i="1"/>
  <c r="M41" i="1"/>
  <c r="M39" i="1"/>
  <c r="N39" i="1" s="1"/>
  <c r="T36" i="1"/>
  <c r="G45" i="1"/>
  <c r="J43" i="1"/>
  <c r="G41" i="1"/>
  <c r="G46" i="1"/>
  <c r="G43" i="1"/>
  <c r="G40" i="1"/>
  <c r="P45" i="1"/>
  <c r="Q36" i="1"/>
  <c r="P44" i="1"/>
  <c r="S43" i="1"/>
  <c r="S41" i="1"/>
  <c r="S46" i="1"/>
  <c r="Q35" i="1"/>
  <c r="P39" i="1"/>
  <c r="Q39" i="1" s="1"/>
  <c r="T35" i="1"/>
  <c r="S42" i="1"/>
  <c r="P42" i="1"/>
  <c r="S40" i="1"/>
  <c r="T34" i="1"/>
  <c r="S45" i="1"/>
  <c r="P41" i="1"/>
  <c r="S39" i="1"/>
  <c r="T39" i="1" s="1"/>
  <c r="S44" i="1"/>
  <c r="P46" i="1"/>
  <c r="P40" i="1"/>
  <c r="P43" i="1"/>
  <c r="N41" i="1" l="1"/>
  <c r="H43" i="1"/>
  <c r="T44" i="1"/>
  <c r="H42" i="1"/>
  <c r="K46" i="1"/>
  <c r="N42" i="1"/>
  <c r="N43" i="1"/>
  <c r="H46" i="1"/>
  <c r="K41" i="1"/>
  <c r="K42" i="1"/>
  <c r="H44" i="1"/>
  <c r="N40" i="1"/>
  <c r="K44" i="1"/>
  <c r="N45" i="1"/>
  <c r="Q43" i="1"/>
  <c r="K43" i="1"/>
  <c r="K40" i="1"/>
  <c r="H45" i="1"/>
  <c r="N46" i="1"/>
  <c r="K45" i="1"/>
  <c r="N44" i="1"/>
  <c r="H40" i="1"/>
  <c r="T42" i="1"/>
  <c r="Q40" i="1"/>
  <c r="T45" i="1"/>
  <c r="Q46" i="1"/>
  <c r="T40" i="1"/>
  <c r="Q42" i="1"/>
  <c r="T43" i="1"/>
  <c r="Q41" i="1"/>
  <c r="Q44" i="1"/>
  <c r="T46" i="1"/>
  <c r="T41" i="1"/>
  <c r="Q45" i="1"/>
  <c r="H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tc={87AAECD6-9419-4124-9ACA-AA1315630755}</author>
    <author>tc={C6F4D0B0-B64F-4515-A0F1-3E0242269F66}</author>
    <author>tc={22B08B1D-A937-4FC1-9B0E-7D0C896A5E60}</author>
  </authors>
  <commentList>
    <comment ref="A27" authorId="0" shapeId="0" xr:uid="{87AAECD6-9419-4124-9ACA-AA13156307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point on the graph represents the mean daily profit for a newspaper seller who orders q papers per day.
The vertical bars attached to each point show the variability (uncertainty) in those profits-often standard deviation or 95% confidence intervals. </t>
      </text>
    </comment>
    <comment ref="U41" authorId="1" shapeId="0" xr:uid="{C6F4D0B0-B64F-4515-A0F1-3E0242269F66}">
      <text>
        <t>[Threaded comment]
Your version of Excel allows you to read this threaded comment; however, any edits to it will get removed if the file is opened in a newer version of Excel. Learn more: https://go.microsoft.com/fwlink/?linkid=870924
Comment:
    A histogram shows how data is distributed across different value ranges.
It answers questions like:
-How often do profits fall between –20 and 0?
-How many days had a profit above $60?
-What range of profits is most common?
Instead of plotting individual data points, the histogram groups them into bins (ranges).</t>
      </text>
    </comment>
    <comment ref="U51" authorId="2" shapeId="0" xr:uid="{22B08B1D-A937-4FC1-9B0E-7D0C896A5E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Red vertical line indicates mean</t>
      </text>
    </comment>
  </commentList>
</comments>
</file>

<file path=xl/sharedStrings.xml><?xml version="1.0" encoding="utf-8"?>
<sst xmlns="http://schemas.openxmlformats.org/spreadsheetml/2006/main" count="58" uniqueCount="22">
  <si>
    <t>Day</t>
  </si>
  <si>
    <t>Newsvendor Problem -- 30 Days</t>
  </si>
  <si>
    <t>INPUT DATA</t>
  </si>
  <si>
    <t>Demand</t>
  </si>
  <si>
    <t>Sold</t>
  </si>
  <si>
    <t>±</t>
  </si>
  <si>
    <r>
      <t xml:space="preserve">Retail price </t>
    </r>
    <r>
      <rPr>
        <i/>
        <sz val="10"/>
        <rFont val="Arial"/>
        <family val="2"/>
      </rPr>
      <t>r</t>
    </r>
    <r>
      <rPr>
        <sz val="10"/>
        <rFont val="Arial"/>
      </rPr>
      <t xml:space="preserve"> =</t>
    </r>
  </si>
  <si>
    <r>
      <t xml:space="preserve">Scrap price </t>
    </r>
    <r>
      <rPr>
        <i/>
        <sz val="10"/>
        <rFont val="Arial"/>
        <family val="2"/>
      </rPr>
      <t>s</t>
    </r>
    <r>
      <rPr>
        <sz val="10"/>
        <rFont val="Arial"/>
      </rPr>
      <t xml:space="preserve"> =</t>
    </r>
  </si>
  <si>
    <r>
      <t xml:space="preserve">Demand parameter </t>
    </r>
    <r>
      <rPr>
        <i/>
        <sz val="10"/>
        <rFont val="Symbol"/>
        <family val="1"/>
        <charset val="2"/>
      </rPr>
      <t>m</t>
    </r>
    <r>
      <rPr>
        <sz val="10"/>
        <rFont val="Arial"/>
      </rPr>
      <t xml:space="preserve"> =</t>
    </r>
  </si>
  <si>
    <r>
      <t xml:space="preserve">Demand parameter </t>
    </r>
    <r>
      <rPr>
        <i/>
        <sz val="10"/>
        <rFont val="Symbol"/>
        <family val="1"/>
        <charset val="2"/>
      </rPr>
      <t>s</t>
    </r>
    <r>
      <rPr>
        <sz val="10"/>
        <rFont val="Arial"/>
      </rPr>
      <t xml:space="preserve"> =</t>
    </r>
  </si>
  <si>
    <t>Scrap</t>
  </si>
  <si>
    <t>Profit</t>
  </si>
  <si>
    <t>E(Profit/Day)</t>
  </si>
  <si>
    <r>
      <t>q</t>
    </r>
    <r>
      <rPr>
        <sz val="10"/>
        <rFont val="Arial"/>
      </rPr>
      <t xml:space="preserve"> =</t>
    </r>
  </si>
  <si>
    <t>Prob(Loss)</t>
  </si>
  <si>
    <r>
      <t xml:space="preserve">Wholesale price </t>
    </r>
    <r>
      <rPr>
        <i/>
        <sz val="10"/>
        <rFont val="Arial"/>
        <family val="2"/>
      </rPr>
      <t>c</t>
    </r>
    <r>
      <rPr>
        <sz val="10"/>
        <rFont val="Arial"/>
      </rPr>
      <t xml:space="preserve"> =</t>
    </r>
  </si>
  <si>
    <t>Bin Tops</t>
  </si>
  <si>
    <t>Cum.</t>
  </si>
  <si>
    <t>Freq.</t>
  </si>
  <si>
    <t>Histogram Data</t>
  </si>
  <si>
    <t>Error bar plot (Mean +- Variability)</t>
  </si>
  <si>
    <t>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</si>
</sst>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Symbol"/>
      <family val="1"/>
      <charset val="2"/>
    </font>
    <font>
      <i/>
      <sz val="10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2" fontId="0" fillId="2" borderId="3" xfId="0" applyNumberFormat="1" applyFill="1" applyBorder="1"/>
    <xf numFmtId="0" fontId="0" fillId="2" borderId="4" xfId="0" applyFill="1" applyBorder="1" applyAlignment="1">
      <alignment horizontal="right"/>
    </xf>
    <xf numFmtId="2" fontId="0" fillId="2" borderId="5" xfId="0" applyNumberFormat="1" applyFill="1" applyBorder="1"/>
    <xf numFmtId="0" fontId="0" fillId="0" borderId="2" xfId="0" applyBorder="1"/>
    <xf numFmtId="1" fontId="0" fillId="0" borderId="0" xfId="0" applyNumberFormat="1"/>
    <xf numFmtId="0" fontId="0" fillId="0" borderId="4" xfId="0" applyBorder="1"/>
    <xf numFmtId="0" fontId="0" fillId="2" borderId="6" xfId="0" applyFill="1" applyBorder="1" applyAlignment="1">
      <alignment horizontal="right"/>
    </xf>
    <xf numFmtId="0" fontId="3" fillId="3" borderId="7" xfId="0" applyFont="1" applyFill="1" applyBorder="1"/>
    <xf numFmtId="164" fontId="0" fillId="2" borderId="3" xfId="0" applyNumberFormat="1" applyFill="1" applyBorder="1"/>
    <xf numFmtId="4" fontId="0" fillId="0" borderId="3" xfId="0" applyNumberFormat="1" applyBorder="1"/>
    <xf numFmtId="4" fontId="0" fillId="4" borderId="8" xfId="0" applyNumberFormat="1" applyFill="1" applyBorder="1"/>
    <xf numFmtId="4" fontId="0" fillId="4" borderId="5" xfId="0" applyNumberFormat="1" applyFill="1" applyBorder="1"/>
    <xf numFmtId="0" fontId="0" fillId="0" borderId="6" xfId="0" applyBorder="1" applyAlignment="1">
      <alignment horizontal="center"/>
    </xf>
    <xf numFmtId="1" fontId="0" fillId="0" borderId="2" xfId="0" applyNumberFormat="1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0" fillId="5" borderId="1" xfId="0" applyFill="1" applyBorder="1" applyAlignment="1">
      <alignment horizontal="left"/>
    </xf>
    <xf numFmtId="0" fontId="0" fillId="0" borderId="3" xfId="0" applyBorder="1"/>
    <xf numFmtId="0" fontId="0" fillId="0" borderId="5" xfId="0" applyBorder="1"/>
    <xf numFmtId="4" fontId="0" fillId="4" borderId="12" xfId="0" applyNumberFormat="1" applyFill="1" applyBorder="1"/>
    <xf numFmtId="4" fontId="0" fillId="4" borderId="13" xfId="0" applyNumberFormat="1" applyFill="1" applyBorder="1"/>
    <xf numFmtId="2" fontId="0" fillId="4" borderId="5" xfId="0" applyNumberFormat="1" applyFill="1" applyBorder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4" borderId="19" xfId="0" applyFill="1" applyBorder="1" applyAlignment="1">
      <alignment horizontal="right"/>
    </xf>
    <xf numFmtId="0" fontId="0" fillId="4" borderId="20" xfId="0" applyFill="1" applyBorder="1" applyAlignment="1">
      <alignment horizontal="right"/>
    </xf>
    <xf numFmtId="0" fontId="0" fillId="4" borderId="21" xfId="0" applyFill="1" applyBorder="1" applyAlignment="1">
      <alignment horizontal="right"/>
    </xf>
    <xf numFmtId="0" fontId="0" fillId="0" borderId="12" xfId="0" applyBorder="1"/>
    <xf numFmtId="0" fontId="0" fillId="4" borderId="4" xfId="0" applyFill="1" applyBorder="1" applyAlignment="1">
      <alignment horizontal="right"/>
    </xf>
    <xf numFmtId="0" fontId="0" fillId="0" borderId="13" xfId="0" applyBorder="1"/>
    <xf numFmtId="0" fontId="5" fillId="5" borderId="6" xfId="0" applyFont="1" applyFill="1" applyBorder="1" applyAlignment="1">
      <alignment horizontal="right"/>
    </xf>
    <xf numFmtId="0" fontId="0" fillId="5" borderId="17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619135273806709"/>
          <c:y val="9.6085409252669035E-2"/>
          <c:w val="0.70238367429189252"/>
          <c:h val="0.69750889679715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(Sheet1!$H$35,Sheet1!$K$35,Sheet1!$N$35,Sheet1!$Q$35,Sheet1!$T$35)</c:f>
                <c:numCache>
                  <c:formatCode>General</c:formatCode>
                  <c:ptCount val="5"/>
                  <c:pt idx="0">
                    <c:v>0.68374738134564794</c:v>
                  </c:pt>
                  <c:pt idx="1">
                    <c:v>2.6561289727124238</c:v>
                  </c:pt>
                  <c:pt idx="2">
                    <c:v>5.3681559991405736</c:v>
                  </c:pt>
                  <c:pt idx="3">
                    <c:v>7.4576107082989544</c:v>
                  </c:pt>
                  <c:pt idx="4">
                    <c:v>7.827820841213132</c:v>
                  </c:pt>
                </c:numCache>
              </c:numRef>
            </c:plus>
            <c:minus>
              <c:numRef>
                <c:f>(Sheet1!$H$35,Sheet1!$K$35,Sheet1!$N$35,Sheet1!$Q$35,Sheet1!$T$35)</c:f>
                <c:numCache>
                  <c:formatCode>General</c:formatCode>
                  <c:ptCount val="5"/>
                  <c:pt idx="0">
                    <c:v>0.68374738134564794</c:v>
                  </c:pt>
                  <c:pt idx="1">
                    <c:v>2.6561289727124238</c:v>
                  </c:pt>
                  <c:pt idx="2">
                    <c:v>5.3681559991405736</c:v>
                  </c:pt>
                  <c:pt idx="3">
                    <c:v>7.4576107082989544</c:v>
                  </c:pt>
                  <c:pt idx="4">
                    <c:v>7.827820841213132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(Sheet1!$H$2,Sheet1!$K$2,Sheet1!$N$2,Sheet1!$Q$2,Sheet1!$T$2)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xVal>
          <c:yVal>
            <c:numRef>
              <c:f>(Sheet1!$H$34,Sheet1!$K$34,Sheet1!$N$34,Sheet1!$Q$34,Sheet1!$T$34)</c:f>
              <c:numCache>
                <c:formatCode>#,##0.00</c:formatCode>
                <c:ptCount val="5"/>
                <c:pt idx="0">
                  <c:v>44.579666666666661</c:v>
                </c:pt>
                <c:pt idx="1">
                  <c:v>50.831333333333333</c:v>
                </c:pt>
                <c:pt idx="2">
                  <c:v>53.752666666666663</c:v>
                </c:pt>
                <c:pt idx="3">
                  <c:v>49.786999999999999</c:v>
                </c:pt>
                <c:pt idx="4">
                  <c:v>40.195333333333316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8-42EF-9799-97901646E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506208"/>
        <c:axId val="1"/>
      </c:scatterChart>
      <c:valAx>
        <c:axId val="614506208"/>
        <c:scaling>
          <c:orientation val="minMax"/>
          <c:max val="200"/>
          <c:min val="8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10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(papers)</a:t>
                </a:r>
              </a:p>
            </c:rich>
          </c:tx>
          <c:layout>
            <c:manualLayout>
              <c:xMode val="edge"/>
              <c:yMode val="edge"/>
              <c:x val="0.42063658709328"/>
              <c:y val="0.893238434163701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0"/>
        <c:minorUnit val="4"/>
      </c:valAx>
      <c:valAx>
        <c:axId val="1"/>
        <c:scaling>
          <c:orientation val="minMax"/>
          <c:max val="7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Mean Daily Profit ($)</a:t>
                </a:r>
              </a:p>
            </c:rich>
          </c:tx>
          <c:layout>
            <c:manualLayout>
              <c:xMode val="edge"/>
              <c:yMode val="edge"/>
              <c:x val="1.984126984126984E-2"/>
              <c:y val="0.1850533807829181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4506208"/>
        <c:crossesAt val="80"/>
        <c:crossBetween val="midCat"/>
        <c:majorUnit val="10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67005753627549E-2"/>
          <c:y val="4.2373056694653299E-2"/>
          <c:w val="0.92500752773053163"/>
          <c:h val="0.92373263594344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Sheet1!$E$39:$E$46</c:f>
              <c:numCache>
                <c:formatCode>General</c:formatCode>
                <c:ptCount val="8"/>
                <c:pt idx="0">
                  <c:v>-40</c:v>
                </c:pt>
                <c:pt idx="1">
                  <c:v>-20</c:v>
                </c:pt>
                <c:pt idx="2">
                  <c:v>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Sheet1!$T$39:$T$46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1-4DA6-8578-FDAD45B24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521624"/>
        <c:axId val="1"/>
      </c:barChart>
      <c:catAx>
        <c:axId val="61452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45216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22480801591559E-2"/>
          <c:y val="4.2016806722689079E-2"/>
          <c:w val="0.92562356995565098"/>
          <c:h val="0.92436974789915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Sheet1!$E$39:$E$46</c:f>
              <c:numCache>
                <c:formatCode>General</c:formatCode>
                <c:ptCount val="8"/>
                <c:pt idx="0">
                  <c:v>-40</c:v>
                </c:pt>
                <c:pt idx="1">
                  <c:v>-20</c:v>
                </c:pt>
                <c:pt idx="2">
                  <c:v>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Sheet1!$Q$39:$Q$46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C-4CF0-99F3-FB674726D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520968"/>
        <c:axId val="1"/>
      </c:barChart>
      <c:catAx>
        <c:axId val="61452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45209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22480801591559E-2"/>
          <c:y val="4.2016806722689079E-2"/>
          <c:w val="0.92562356995565098"/>
          <c:h val="0.92436974789915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Sheet1!$E$39:$E$46</c:f>
              <c:numCache>
                <c:formatCode>General</c:formatCode>
                <c:ptCount val="8"/>
                <c:pt idx="0">
                  <c:v>-40</c:v>
                </c:pt>
                <c:pt idx="1">
                  <c:v>-20</c:v>
                </c:pt>
                <c:pt idx="2">
                  <c:v>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Sheet1!$N$39:$N$46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3-45D6-A364-4DB44D3B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523592"/>
        <c:axId val="1"/>
      </c:barChart>
      <c:catAx>
        <c:axId val="61452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4523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22480801591559E-2"/>
          <c:y val="4.2016806722689079E-2"/>
          <c:w val="0.92562356995565098"/>
          <c:h val="0.92436974789915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Sheet1!$E$39:$E$46</c:f>
              <c:numCache>
                <c:formatCode>General</c:formatCode>
                <c:ptCount val="8"/>
                <c:pt idx="0">
                  <c:v>-40</c:v>
                </c:pt>
                <c:pt idx="1">
                  <c:v>-20</c:v>
                </c:pt>
                <c:pt idx="2">
                  <c:v>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Sheet1!$K$39:$K$46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F-452C-8733-EDE84BCC5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517688"/>
        <c:axId val="1"/>
      </c:barChart>
      <c:catAx>
        <c:axId val="61451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45176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22480801591559E-2"/>
          <c:y val="4.2016806722689079E-2"/>
          <c:w val="0.92562356995565098"/>
          <c:h val="0.92436974789915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Sheet1!$E$39:$E$46</c:f>
              <c:numCache>
                <c:formatCode>General</c:formatCode>
                <c:ptCount val="8"/>
                <c:pt idx="0">
                  <c:v>-40</c:v>
                </c:pt>
                <c:pt idx="1">
                  <c:v>-20</c:v>
                </c:pt>
                <c:pt idx="2">
                  <c:v>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Sheet1!$H$39:$H$46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E-4188-9421-27AA5903B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518344"/>
        <c:axId val="1"/>
      </c:barChart>
      <c:catAx>
        <c:axId val="61451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45183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9</xdr:row>
      <xdr:rowOff>9525</xdr:rowOff>
    </xdr:from>
    <xdr:to>
      <xdr:col>1</xdr:col>
      <xdr:colOff>428625</xdr:colOff>
      <xdr:row>25</xdr:row>
      <xdr:rowOff>95250</xdr:rowOff>
    </xdr:to>
    <xdr:graphicFrame macro="">
      <xdr:nvGraphicFramePr>
        <xdr:cNvPr id="1057" name="Chart 2">
          <a:extLst>
            <a:ext uri="{FF2B5EF4-FFF2-40B4-BE49-F238E27FC236}">
              <a16:creationId xmlns:a16="http://schemas.microsoft.com/office/drawing/2014/main" id="{8E81A4A3-4ED4-4B0A-BE76-ADA2E8702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47</xdr:row>
      <xdr:rowOff>9525</xdr:rowOff>
    </xdr:from>
    <xdr:to>
      <xdr:col>19</xdr:col>
      <xdr:colOff>371475</xdr:colOff>
      <xdr:row>54</xdr:row>
      <xdr:rowOff>0</xdr:rowOff>
    </xdr:to>
    <xdr:graphicFrame macro="">
      <xdr:nvGraphicFramePr>
        <xdr:cNvPr id="1058" name="Chart 4">
          <a:extLst>
            <a:ext uri="{FF2B5EF4-FFF2-40B4-BE49-F238E27FC236}">
              <a16:creationId xmlns:a16="http://schemas.microsoft.com/office/drawing/2014/main" id="{0C993AF2-5CA5-4399-898B-8F1630EE6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47</xdr:row>
      <xdr:rowOff>0</xdr:rowOff>
    </xdr:from>
    <xdr:to>
      <xdr:col>16</xdr:col>
      <xdr:colOff>371475</xdr:colOff>
      <xdr:row>54</xdr:row>
      <xdr:rowOff>0</xdr:rowOff>
    </xdr:to>
    <xdr:graphicFrame macro="">
      <xdr:nvGraphicFramePr>
        <xdr:cNvPr id="1059" name="Chart 12">
          <a:extLst>
            <a:ext uri="{FF2B5EF4-FFF2-40B4-BE49-F238E27FC236}">
              <a16:creationId xmlns:a16="http://schemas.microsoft.com/office/drawing/2014/main" id="{C3E4693F-8F9D-48AD-A282-5AB29FAC8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13</xdr:col>
      <xdr:colOff>371475</xdr:colOff>
      <xdr:row>54</xdr:row>
      <xdr:rowOff>0</xdr:rowOff>
    </xdr:to>
    <xdr:graphicFrame macro="">
      <xdr:nvGraphicFramePr>
        <xdr:cNvPr id="1060" name="Chart 13">
          <a:extLst>
            <a:ext uri="{FF2B5EF4-FFF2-40B4-BE49-F238E27FC236}">
              <a16:creationId xmlns:a16="http://schemas.microsoft.com/office/drawing/2014/main" id="{58154E8C-20D6-48B8-9D4E-0E7FC56F2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10</xdr:col>
      <xdr:colOff>371475</xdr:colOff>
      <xdr:row>54</xdr:row>
      <xdr:rowOff>0</xdr:rowOff>
    </xdr:to>
    <xdr:graphicFrame macro="">
      <xdr:nvGraphicFramePr>
        <xdr:cNvPr id="1061" name="Chart 14">
          <a:extLst>
            <a:ext uri="{FF2B5EF4-FFF2-40B4-BE49-F238E27FC236}">
              <a16:creationId xmlns:a16="http://schemas.microsoft.com/office/drawing/2014/main" id="{CC98CE71-A992-4B02-9275-2E3420E14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7</xdr:col>
      <xdr:colOff>371475</xdr:colOff>
      <xdr:row>54</xdr:row>
      <xdr:rowOff>0</xdr:rowOff>
    </xdr:to>
    <xdr:graphicFrame macro="">
      <xdr:nvGraphicFramePr>
        <xdr:cNvPr id="1062" name="Chart 15">
          <a:extLst>
            <a:ext uri="{FF2B5EF4-FFF2-40B4-BE49-F238E27FC236}">
              <a16:creationId xmlns:a16="http://schemas.microsoft.com/office/drawing/2014/main" id="{AC3F9678-1541-43B8-A59A-3EA5C7D43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57150</xdr:colOff>
      <xdr:row>47</xdr:row>
      <xdr:rowOff>57150</xdr:rowOff>
    </xdr:from>
    <xdr:to>
      <xdr:col>18</xdr:col>
      <xdr:colOff>57150</xdr:colOff>
      <xdr:row>53</xdr:row>
      <xdr:rowOff>114300</xdr:rowOff>
    </xdr:to>
    <xdr:sp macro="" textlink="">
      <xdr:nvSpPr>
        <xdr:cNvPr id="1063" name="Line 17">
          <a:extLst>
            <a:ext uri="{FF2B5EF4-FFF2-40B4-BE49-F238E27FC236}">
              <a16:creationId xmlns:a16="http://schemas.microsoft.com/office/drawing/2014/main" id="{67999A76-4BBD-4EC9-8272-77F7AB04B3F0}"/>
            </a:ext>
          </a:extLst>
        </xdr:cNvPr>
        <xdr:cNvSpPr>
          <a:spLocks noChangeShapeType="1"/>
        </xdr:cNvSpPr>
      </xdr:nvSpPr>
      <xdr:spPr bwMode="auto">
        <a:xfrm flipV="1">
          <a:off x="8524875" y="7743825"/>
          <a:ext cx="0" cy="1028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47</xdr:row>
      <xdr:rowOff>57150</xdr:rowOff>
    </xdr:from>
    <xdr:to>
      <xdr:col>15</xdr:col>
      <xdr:colOff>57150</xdr:colOff>
      <xdr:row>53</xdr:row>
      <xdr:rowOff>114300</xdr:rowOff>
    </xdr:to>
    <xdr:sp macro="" textlink="">
      <xdr:nvSpPr>
        <xdr:cNvPr id="1064" name="Line 18">
          <a:extLst>
            <a:ext uri="{FF2B5EF4-FFF2-40B4-BE49-F238E27FC236}">
              <a16:creationId xmlns:a16="http://schemas.microsoft.com/office/drawing/2014/main" id="{D7C6B0FF-AE4C-4115-B15E-6E5EF9185465}"/>
            </a:ext>
          </a:extLst>
        </xdr:cNvPr>
        <xdr:cNvSpPr>
          <a:spLocks noChangeShapeType="1"/>
        </xdr:cNvSpPr>
      </xdr:nvSpPr>
      <xdr:spPr bwMode="auto">
        <a:xfrm flipV="1">
          <a:off x="7353300" y="7743825"/>
          <a:ext cx="0" cy="1028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</xdr:colOff>
      <xdr:row>47</xdr:row>
      <xdr:rowOff>57150</xdr:rowOff>
    </xdr:from>
    <xdr:to>
      <xdr:col>12</xdr:col>
      <xdr:colOff>57150</xdr:colOff>
      <xdr:row>53</xdr:row>
      <xdr:rowOff>114300</xdr:rowOff>
    </xdr:to>
    <xdr:sp macro="" textlink="">
      <xdr:nvSpPr>
        <xdr:cNvPr id="1065" name="Line 19">
          <a:extLst>
            <a:ext uri="{FF2B5EF4-FFF2-40B4-BE49-F238E27FC236}">
              <a16:creationId xmlns:a16="http://schemas.microsoft.com/office/drawing/2014/main" id="{CEB787A3-BF06-44BA-9F8C-830C7D535140}"/>
            </a:ext>
          </a:extLst>
        </xdr:cNvPr>
        <xdr:cNvSpPr>
          <a:spLocks noChangeShapeType="1"/>
        </xdr:cNvSpPr>
      </xdr:nvSpPr>
      <xdr:spPr bwMode="auto">
        <a:xfrm flipV="1">
          <a:off x="6181725" y="7743825"/>
          <a:ext cx="0" cy="1028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47</xdr:row>
      <xdr:rowOff>57150</xdr:rowOff>
    </xdr:from>
    <xdr:to>
      <xdr:col>9</xdr:col>
      <xdr:colOff>57150</xdr:colOff>
      <xdr:row>53</xdr:row>
      <xdr:rowOff>114300</xdr:rowOff>
    </xdr:to>
    <xdr:sp macro="" textlink="">
      <xdr:nvSpPr>
        <xdr:cNvPr id="1066" name="Line 20">
          <a:extLst>
            <a:ext uri="{FF2B5EF4-FFF2-40B4-BE49-F238E27FC236}">
              <a16:creationId xmlns:a16="http://schemas.microsoft.com/office/drawing/2014/main" id="{0971D864-5A33-405C-98A9-2B0291970310}"/>
            </a:ext>
          </a:extLst>
        </xdr:cNvPr>
        <xdr:cNvSpPr>
          <a:spLocks noChangeShapeType="1"/>
        </xdr:cNvSpPr>
      </xdr:nvSpPr>
      <xdr:spPr bwMode="auto">
        <a:xfrm flipV="1">
          <a:off x="5010150" y="7743825"/>
          <a:ext cx="0" cy="1028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47</xdr:row>
      <xdr:rowOff>57150</xdr:rowOff>
    </xdr:from>
    <xdr:to>
      <xdr:col>6</xdr:col>
      <xdr:colOff>57150</xdr:colOff>
      <xdr:row>53</xdr:row>
      <xdr:rowOff>114300</xdr:rowOff>
    </xdr:to>
    <xdr:sp macro="" textlink="">
      <xdr:nvSpPr>
        <xdr:cNvPr id="1067" name="Line 21">
          <a:extLst>
            <a:ext uri="{FF2B5EF4-FFF2-40B4-BE49-F238E27FC236}">
              <a16:creationId xmlns:a16="http://schemas.microsoft.com/office/drawing/2014/main" id="{D5DD6749-CFDC-4465-8B7F-60DBAC540797}"/>
            </a:ext>
          </a:extLst>
        </xdr:cNvPr>
        <xdr:cNvSpPr>
          <a:spLocks noChangeShapeType="1"/>
        </xdr:cNvSpPr>
      </xdr:nvSpPr>
      <xdr:spPr bwMode="auto">
        <a:xfrm flipV="1">
          <a:off x="3838575" y="7743825"/>
          <a:ext cx="0" cy="1028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garaju, Vidhyashree" id="{FE9FB095-3AB8-4D12-94BE-215D732DE5F0}" userId="S::NAGARAV1@erau.edu::2212eaf9-5822-4808-b556-b189157e83e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" dT="2025-11-20T14:29:39.33" personId="{FE9FB095-3AB8-4D12-94BE-215D732DE5F0}" id="{87AAECD6-9419-4124-9ACA-AA1315630755}">
    <text xml:space="preserve">Each point on the graph represents the mean daily profit for a newspaper seller who orders q papers per day.
The vertical bars attached to each point show the variability (uncertainty) in those profits-often standard deviation or 95% confidence intervals. </text>
  </threadedComment>
  <threadedComment ref="U41" dT="2025-11-20T15:26:20.57" personId="{FE9FB095-3AB8-4D12-94BE-215D732DE5F0}" id="{C6F4D0B0-B64F-4515-A0F1-3E0242269F66}">
    <text>A histogram shows how data is distributed across different value ranges.
It answers questions like:
-How often do profits fall between –20 and 0?
-How many days had a profit above $60?
-What range of profits is most common?
Instead of plotting individual data points, the histogram groups them into bins (ranges).</text>
  </threadedComment>
  <threadedComment ref="U51" dT="2025-11-20T15:34:29.39" personId="{FE9FB095-3AB8-4D12-94BE-215D732DE5F0}" id="{22B08B1D-A937-4FC1-9B0E-7D0C896A5E60}">
    <text>Red vertical line indicates mean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zoomScale="120" zoomScaleNormal="120" workbookViewId="0">
      <selection activeCell="E5" sqref="E5"/>
    </sheetView>
  </sheetViews>
  <sheetFormatPr defaultRowHeight="13.2" x14ac:dyDescent="0.25"/>
  <cols>
    <col min="1" max="1" width="30.33203125" bestFit="1" customWidth="1"/>
    <col min="2" max="2" width="6.88671875" bestFit="1" customWidth="1"/>
    <col min="3" max="3" width="1.44140625" customWidth="1"/>
    <col min="4" max="4" width="4.33203125" customWidth="1"/>
    <col min="5" max="5" width="8" bestFit="1" customWidth="1"/>
    <col min="6" max="7" width="5.88671875" customWidth="1"/>
    <col min="8" max="8" width="7.109375" customWidth="1"/>
    <col min="9" max="10" width="5.88671875" customWidth="1"/>
    <col min="11" max="11" width="6.88671875" customWidth="1"/>
    <col min="12" max="13" width="5.88671875" customWidth="1"/>
    <col min="14" max="14" width="6.44140625" customWidth="1"/>
    <col min="15" max="16" width="5.88671875" customWidth="1"/>
    <col min="17" max="17" width="6.44140625" customWidth="1"/>
    <col min="18" max="19" width="5.88671875" customWidth="1"/>
    <col min="20" max="20" width="6.77734375" customWidth="1"/>
  </cols>
  <sheetData>
    <row r="1" spans="1:20" ht="13.8" thickBot="1" x14ac:dyDescent="0.3">
      <c r="A1" s="12" t="s">
        <v>1</v>
      </c>
    </row>
    <row r="2" spans="1:20" ht="13.8" thickBot="1" x14ac:dyDescent="0.3">
      <c r="A2" s="1"/>
      <c r="D2" s="2"/>
      <c r="E2" s="2"/>
      <c r="F2" s="47" t="s">
        <v>13</v>
      </c>
      <c r="G2" s="48"/>
      <c r="H2" s="24">
        <v>100</v>
      </c>
      <c r="I2" s="47" t="s">
        <v>13</v>
      </c>
      <c r="J2" s="48"/>
      <c r="K2" s="24">
        <v>120</v>
      </c>
      <c r="L2" s="47" t="s">
        <v>13</v>
      </c>
      <c r="M2" s="48"/>
      <c r="N2" s="24">
        <v>140</v>
      </c>
      <c r="O2" s="47" t="s">
        <v>13</v>
      </c>
      <c r="P2" s="48"/>
      <c r="Q2" s="24">
        <v>160</v>
      </c>
      <c r="R2" s="47" t="s">
        <v>13</v>
      </c>
      <c r="S2" s="48"/>
      <c r="T2" s="24">
        <v>180</v>
      </c>
    </row>
    <row r="3" spans="1:20" s="2" customFormat="1" x14ac:dyDescent="0.25">
      <c r="A3" s="11" t="s">
        <v>2</v>
      </c>
      <c r="B3" s="3"/>
      <c r="D3" s="17" t="s">
        <v>0</v>
      </c>
      <c r="E3" s="22" t="s">
        <v>3</v>
      </c>
      <c r="F3" s="19" t="s">
        <v>4</v>
      </c>
      <c r="G3" s="20" t="s">
        <v>10</v>
      </c>
      <c r="H3" s="21" t="s">
        <v>11</v>
      </c>
      <c r="I3" s="19" t="s">
        <v>4</v>
      </c>
      <c r="J3" s="20" t="s">
        <v>10</v>
      </c>
      <c r="K3" s="21" t="s">
        <v>11</v>
      </c>
      <c r="L3" s="19" t="s">
        <v>4</v>
      </c>
      <c r="M3" s="20" t="s">
        <v>10</v>
      </c>
      <c r="N3" s="23" t="s">
        <v>11</v>
      </c>
      <c r="O3" s="19" t="s">
        <v>4</v>
      </c>
      <c r="P3" s="20" t="s">
        <v>10</v>
      </c>
      <c r="Q3" s="21" t="s">
        <v>11</v>
      </c>
      <c r="R3" s="19" t="s">
        <v>4</v>
      </c>
      <c r="S3" s="20" t="s">
        <v>10</v>
      </c>
      <c r="T3" s="21" t="s">
        <v>11</v>
      </c>
    </row>
    <row r="4" spans="1:20" x14ac:dyDescent="0.25">
      <c r="A4" s="4" t="s">
        <v>15</v>
      </c>
      <c r="B4" s="13">
        <v>0.55000000000000004</v>
      </c>
      <c r="D4" s="8">
        <v>1</v>
      </c>
      <c r="E4" s="25">
        <f ca="1" xml:space="preserve"> MAX(ROUND(NORMINV(RAND(), $B$7, $B$8), 0), 0)</f>
        <v>162</v>
      </c>
      <c r="F4" s="18">
        <f ca="1" xml:space="preserve"> MIN($E4, H$2)</f>
        <v>100</v>
      </c>
      <c r="G4" s="9">
        <f ca="1" xml:space="preserve"> MAX(H$2 - $E4, 0)</f>
        <v>0</v>
      </c>
      <c r="H4" s="14">
        <f ca="1" xml:space="preserve"> $B$5*F4 + $B$6*G4 - $B$4*H$2</f>
        <v>44.999999999999993</v>
      </c>
      <c r="I4" s="18">
        <f ca="1" xml:space="preserve"> MIN($E4, K$2)</f>
        <v>120</v>
      </c>
      <c r="J4" s="9">
        <f ca="1" xml:space="preserve"> MAX(K$2 - $E4, 0)</f>
        <v>0</v>
      </c>
      <c r="K4" s="14">
        <f ca="1" xml:space="preserve"> $B$5*I4 + $B$6*J4 - $B$4*K$2</f>
        <v>54</v>
      </c>
      <c r="L4" s="18">
        <f ca="1" xml:space="preserve"> MIN($E4, N$2)</f>
        <v>140</v>
      </c>
      <c r="M4" s="9">
        <f ca="1" xml:space="preserve"> MAX(N$2 - $E4, 0)</f>
        <v>0</v>
      </c>
      <c r="N4" s="14">
        <f ca="1" xml:space="preserve"> $B$5*L4 + $B$6*M4 - $B$4*N$2</f>
        <v>63</v>
      </c>
      <c r="O4" s="18">
        <f ca="1" xml:space="preserve"> MIN($E4, Q$2)</f>
        <v>160</v>
      </c>
      <c r="P4" s="9">
        <f ca="1" xml:space="preserve"> MAX(Q$2 - $E4, 0)</f>
        <v>0</v>
      </c>
      <c r="Q4" s="14">
        <f ca="1" xml:space="preserve"> $B$5*O4 + $B$6*P4 - $B$4*Q$2</f>
        <v>72</v>
      </c>
      <c r="R4" s="18">
        <f ca="1" xml:space="preserve"> MIN($E4, T$2)</f>
        <v>162</v>
      </c>
      <c r="S4" s="9">
        <f ca="1" xml:space="preserve"> MAX(T$2 - $E4, 0)</f>
        <v>18</v>
      </c>
      <c r="T4" s="14">
        <f ca="1" xml:space="preserve"> $B$5*R4 + $B$6*S4 - $B$4*T$2</f>
        <v>63.539999999999978</v>
      </c>
    </row>
    <row r="5" spans="1:20" x14ac:dyDescent="0.25">
      <c r="A5" s="4" t="s">
        <v>6</v>
      </c>
      <c r="B5" s="13">
        <v>1</v>
      </c>
      <c r="D5" s="8">
        <v>2</v>
      </c>
      <c r="E5" s="25">
        <f t="shared" ref="E5:E33" ca="1" si="0" xml:space="preserve"> MAX(ROUND(NORMINV(RAND(), $B$7, $B$8), 0), 0)</f>
        <v>145</v>
      </c>
      <c r="F5" s="18">
        <f t="shared" ref="F5:F33" ca="1" si="1" xml:space="preserve"> MIN($E5, H$2)</f>
        <v>100</v>
      </c>
      <c r="G5" s="9">
        <f t="shared" ref="G5:G33" ca="1" si="2" xml:space="preserve"> MAX(H$2 - $E5, 0)</f>
        <v>0</v>
      </c>
      <c r="H5" s="14">
        <f t="shared" ref="H5:H33" ca="1" si="3" xml:space="preserve"> $B$5*F5 + $B$6*G5 - $B$4*H$2</f>
        <v>44.999999999999993</v>
      </c>
      <c r="I5" s="18">
        <f t="shared" ref="I5:I33" ca="1" si="4" xml:space="preserve"> MIN($E5, K$2)</f>
        <v>120</v>
      </c>
      <c r="J5" s="9">
        <f t="shared" ref="J5:J33" ca="1" si="5" xml:space="preserve"> MAX(K$2 - $E5, 0)</f>
        <v>0</v>
      </c>
      <c r="K5" s="14">
        <f t="shared" ref="K5:K33" ca="1" si="6" xml:space="preserve"> $B$5*I5 + $B$6*J5 - $B$4*K$2</f>
        <v>54</v>
      </c>
      <c r="L5" s="18">
        <f t="shared" ref="L5:L33" ca="1" si="7" xml:space="preserve"> MIN($E5, N$2)</f>
        <v>140</v>
      </c>
      <c r="M5" s="9">
        <f t="shared" ref="M5:M33" ca="1" si="8" xml:space="preserve"> MAX(N$2 - $E5, 0)</f>
        <v>0</v>
      </c>
      <c r="N5" s="14">
        <f t="shared" ref="N5:N33" ca="1" si="9" xml:space="preserve"> $B$5*L5 + $B$6*M5 - $B$4*N$2</f>
        <v>63</v>
      </c>
      <c r="O5" s="18">
        <f t="shared" ref="O5:O33" ca="1" si="10" xml:space="preserve"> MIN($E5, Q$2)</f>
        <v>145</v>
      </c>
      <c r="P5" s="9">
        <f t="shared" ref="P5:P33" ca="1" si="11" xml:space="preserve"> MAX(Q$2 - $E5, 0)</f>
        <v>15</v>
      </c>
      <c r="Q5" s="14">
        <f t="shared" ref="Q5:Q33" ca="1" si="12" xml:space="preserve"> $B$5*O5 + $B$6*P5 - $B$4*Q$2</f>
        <v>57.449999999999989</v>
      </c>
      <c r="R5" s="18">
        <f t="shared" ref="R5:R33" ca="1" si="13" xml:space="preserve"> MIN($E5, T$2)</f>
        <v>145</v>
      </c>
      <c r="S5" s="9">
        <f t="shared" ref="S5:S33" ca="1" si="14" xml:space="preserve"> MAX(T$2 - $E5, 0)</f>
        <v>35</v>
      </c>
      <c r="T5" s="14">
        <f t="shared" ref="T5:T33" ca="1" si="15" xml:space="preserve"> $B$5*R5 + $B$6*S5 - $B$4*T$2</f>
        <v>47.05</v>
      </c>
    </row>
    <row r="6" spans="1:20" x14ac:dyDescent="0.25">
      <c r="A6" s="4" t="s">
        <v>7</v>
      </c>
      <c r="B6" s="13">
        <v>0.03</v>
      </c>
      <c r="D6" s="8">
        <v>3</v>
      </c>
      <c r="E6" s="25">
        <f t="shared" ca="1" si="0"/>
        <v>137</v>
      </c>
      <c r="F6" s="18">
        <f t="shared" ca="1" si="1"/>
        <v>100</v>
      </c>
      <c r="G6" s="9">
        <f t="shared" ca="1" si="2"/>
        <v>0</v>
      </c>
      <c r="H6" s="14">
        <f t="shared" ca="1" si="3"/>
        <v>44.999999999999993</v>
      </c>
      <c r="I6" s="18">
        <f t="shared" ca="1" si="4"/>
        <v>120</v>
      </c>
      <c r="J6" s="9">
        <f t="shared" ca="1" si="5"/>
        <v>0</v>
      </c>
      <c r="K6" s="14">
        <f t="shared" ca="1" si="6"/>
        <v>54</v>
      </c>
      <c r="L6" s="18">
        <f t="shared" ca="1" si="7"/>
        <v>137</v>
      </c>
      <c r="M6" s="9">
        <f t="shared" ca="1" si="8"/>
        <v>3</v>
      </c>
      <c r="N6" s="14">
        <f t="shared" ca="1" si="9"/>
        <v>60.09</v>
      </c>
      <c r="O6" s="18">
        <f t="shared" ca="1" si="10"/>
        <v>137</v>
      </c>
      <c r="P6" s="9">
        <f t="shared" ca="1" si="11"/>
        <v>23</v>
      </c>
      <c r="Q6" s="14">
        <f t="shared" ca="1" si="12"/>
        <v>49.69</v>
      </c>
      <c r="R6" s="18">
        <f t="shared" ca="1" si="13"/>
        <v>137</v>
      </c>
      <c r="S6" s="9">
        <f t="shared" ca="1" si="14"/>
        <v>43</v>
      </c>
      <c r="T6" s="14">
        <f t="shared" ca="1" si="15"/>
        <v>39.289999999999978</v>
      </c>
    </row>
    <row r="7" spans="1:20" x14ac:dyDescent="0.25">
      <c r="A7" s="4" t="s">
        <v>8</v>
      </c>
      <c r="B7" s="5">
        <v>135.69999999999999</v>
      </c>
      <c r="D7" s="8">
        <v>4</v>
      </c>
      <c r="E7" s="25">
        <f t="shared" ca="1" si="0"/>
        <v>138</v>
      </c>
      <c r="F7" s="18">
        <f t="shared" ca="1" si="1"/>
        <v>100</v>
      </c>
      <c r="G7" s="9">
        <f t="shared" ca="1" si="2"/>
        <v>0</v>
      </c>
      <c r="H7" s="14">
        <f t="shared" ca="1" si="3"/>
        <v>44.999999999999993</v>
      </c>
      <c r="I7" s="18">
        <f t="shared" ca="1" si="4"/>
        <v>120</v>
      </c>
      <c r="J7" s="9">
        <f t="shared" ca="1" si="5"/>
        <v>0</v>
      </c>
      <c r="K7" s="14">
        <f t="shared" ca="1" si="6"/>
        <v>54</v>
      </c>
      <c r="L7" s="18">
        <f t="shared" ca="1" si="7"/>
        <v>138</v>
      </c>
      <c r="M7" s="9">
        <f t="shared" ca="1" si="8"/>
        <v>2</v>
      </c>
      <c r="N7" s="14">
        <f t="shared" ca="1" si="9"/>
        <v>61.06</v>
      </c>
      <c r="O7" s="18">
        <f t="shared" ca="1" si="10"/>
        <v>138</v>
      </c>
      <c r="P7" s="9">
        <f t="shared" ca="1" si="11"/>
        <v>22</v>
      </c>
      <c r="Q7" s="14">
        <f t="shared" ca="1" si="12"/>
        <v>50.66</v>
      </c>
      <c r="R7" s="18">
        <f t="shared" ca="1" si="13"/>
        <v>138</v>
      </c>
      <c r="S7" s="9">
        <f t="shared" ca="1" si="14"/>
        <v>42</v>
      </c>
      <c r="T7" s="14">
        <f t="shared" ca="1" si="15"/>
        <v>40.259999999999977</v>
      </c>
    </row>
    <row r="8" spans="1:20" ht="13.8" thickBot="1" x14ac:dyDescent="0.3">
      <c r="A8" s="6" t="s">
        <v>9</v>
      </c>
      <c r="B8" s="7">
        <v>27.1</v>
      </c>
      <c r="D8" s="8">
        <v>5</v>
      </c>
      <c r="E8" s="25">
        <f t="shared" ca="1" si="0"/>
        <v>125</v>
      </c>
      <c r="F8" s="18">
        <f t="shared" ca="1" si="1"/>
        <v>100</v>
      </c>
      <c r="G8" s="9">
        <f t="shared" ca="1" si="2"/>
        <v>0</v>
      </c>
      <c r="H8" s="14">
        <f t="shared" ca="1" si="3"/>
        <v>44.999999999999993</v>
      </c>
      <c r="I8" s="18">
        <f t="shared" ca="1" si="4"/>
        <v>120</v>
      </c>
      <c r="J8" s="9">
        <f t="shared" ca="1" si="5"/>
        <v>0</v>
      </c>
      <c r="K8" s="14">
        <f t="shared" ca="1" si="6"/>
        <v>54</v>
      </c>
      <c r="L8" s="18">
        <f t="shared" ca="1" si="7"/>
        <v>125</v>
      </c>
      <c r="M8" s="9">
        <f t="shared" ca="1" si="8"/>
        <v>15</v>
      </c>
      <c r="N8" s="14">
        <f t="shared" ca="1" si="9"/>
        <v>48.45</v>
      </c>
      <c r="O8" s="18">
        <f t="shared" ca="1" si="10"/>
        <v>125</v>
      </c>
      <c r="P8" s="9">
        <f t="shared" ca="1" si="11"/>
        <v>35</v>
      </c>
      <c r="Q8" s="14">
        <f t="shared" ca="1" si="12"/>
        <v>38.049999999999997</v>
      </c>
      <c r="R8" s="18">
        <f t="shared" ca="1" si="13"/>
        <v>125</v>
      </c>
      <c r="S8" s="9">
        <f t="shared" ca="1" si="14"/>
        <v>55</v>
      </c>
      <c r="T8" s="14">
        <f t="shared" ca="1" si="15"/>
        <v>27.649999999999991</v>
      </c>
    </row>
    <row r="9" spans="1:20" x14ac:dyDescent="0.25">
      <c r="D9" s="8">
        <v>6</v>
      </c>
      <c r="E9" s="25">
        <f t="shared" ca="1" si="0"/>
        <v>129</v>
      </c>
      <c r="F9" s="18">
        <f t="shared" ca="1" si="1"/>
        <v>100</v>
      </c>
      <c r="G9" s="9">
        <f t="shared" ca="1" si="2"/>
        <v>0</v>
      </c>
      <c r="H9" s="14">
        <f t="shared" ca="1" si="3"/>
        <v>44.999999999999993</v>
      </c>
      <c r="I9" s="18">
        <f t="shared" ca="1" si="4"/>
        <v>120</v>
      </c>
      <c r="J9" s="9">
        <f t="shared" ca="1" si="5"/>
        <v>0</v>
      </c>
      <c r="K9" s="14">
        <f t="shared" ca="1" si="6"/>
        <v>54</v>
      </c>
      <c r="L9" s="18">
        <f t="shared" ca="1" si="7"/>
        <v>129</v>
      </c>
      <c r="M9" s="9">
        <f t="shared" ca="1" si="8"/>
        <v>11</v>
      </c>
      <c r="N9" s="14">
        <f t="shared" ca="1" si="9"/>
        <v>52.330000000000013</v>
      </c>
      <c r="O9" s="18">
        <f t="shared" ca="1" si="10"/>
        <v>129</v>
      </c>
      <c r="P9" s="9">
        <f t="shared" ca="1" si="11"/>
        <v>31</v>
      </c>
      <c r="Q9" s="14">
        <f t="shared" ca="1" si="12"/>
        <v>41.930000000000007</v>
      </c>
      <c r="R9" s="18">
        <f t="shared" ca="1" si="13"/>
        <v>129</v>
      </c>
      <c r="S9" s="9">
        <f t="shared" ca="1" si="14"/>
        <v>51</v>
      </c>
      <c r="T9" s="14">
        <f t="shared" ca="1" si="15"/>
        <v>31.529999999999987</v>
      </c>
    </row>
    <row r="10" spans="1:20" x14ac:dyDescent="0.25">
      <c r="D10" s="8">
        <v>7</v>
      </c>
      <c r="E10" s="25">
        <f t="shared" ca="1" si="0"/>
        <v>160</v>
      </c>
      <c r="F10" s="18">
        <f t="shared" ca="1" si="1"/>
        <v>100</v>
      </c>
      <c r="G10" s="9">
        <f t="shared" ca="1" si="2"/>
        <v>0</v>
      </c>
      <c r="H10" s="14">
        <f t="shared" ca="1" si="3"/>
        <v>44.999999999999993</v>
      </c>
      <c r="I10" s="18">
        <f t="shared" ca="1" si="4"/>
        <v>120</v>
      </c>
      <c r="J10" s="9">
        <f t="shared" ca="1" si="5"/>
        <v>0</v>
      </c>
      <c r="K10" s="14">
        <f t="shared" ca="1" si="6"/>
        <v>54</v>
      </c>
      <c r="L10" s="18">
        <f t="shared" ca="1" si="7"/>
        <v>140</v>
      </c>
      <c r="M10" s="9">
        <f t="shared" ca="1" si="8"/>
        <v>0</v>
      </c>
      <c r="N10" s="14">
        <f t="shared" ca="1" si="9"/>
        <v>63</v>
      </c>
      <c r="O10" s="18">
        <f t="shared" ca="1" si="10"/>
        <v>160</v>
      </c>
      <c r="P10" s="9">
        <f t="shared" ca="1" si="11"/>
        <v>0</v>
      </c>
      <c r="Q10" s="14">
        <f t="shared" ca="1" si="12"/>
        <v>72</v>
      </c>
      <c r="R10" s="18">
        <f t="shared" ca="1" si="13"/>
        <v>160</v>
      </c>
      <c r="S10" s="9">
        <f t="shared" ca="1" si="14"/>
        <v>20</v>
      </c>
      <c r="T10" s="14">
        <f t="shared" ca="1" si="15"/>
        <v>61.59999999999998</v>
      </c>
    </row>
    <row r="11" spans="1:20" x14ac:dyDescent="0.25">
      <c r="D11" s="8">
        <v>8</v>
      </c>
      <c r="E11" s="25">
        <f t="shared" ca="1" si="0"/>
        <v>111</v>
      </c>
      <c r="F11" s="18">
        <f t="shared" ca="1" si="1"/>
        <v>100</v>
      </c>
      <c r="G11" s="9">
        <f t="shared" ca="1" si="2"/>
        <v>0</v>
      </c>
      <c r="H11" s="14">
        <f t="shared" ca="1" si="3"/>
        <v>44.999999999999993</v>
      </c>
      <c r="I11" s="18">
        <f t="shared" ca="1" si="4"/>
        <v>111</v>
      </c>
      <c r="J11" s="9">
        <f t="shared" ca="1" si="5"/>
        <v>9</v>
      </c>
      <c r="K11" s="14">
        <f t="shared" ca="1" si="6"/>
        <v>45.269999999999996</v>
      </c>
      <c r="L11" s="18">
        <f t="shared" ca="1" si="7"/>
        <v>111</v>
      </c>
      <c r="M11" s="9">
        <f t="shared" ca="1" si="8"/>
        <v>29</v>
      </c>
      <c r="N11" s="14">
        <f t="shared" ca="1" si="9"/>
        <v>34.870000000000005</v>
      </c>
      <c r="O11" s="18">
        <f t="shared" ca="1" si="10"/>
        <v>111</v>
      </c>
      <c r="P11" s="9">
        <f t="shared" ca="1" si="11"/>
        <v>49</v>
      </c>
      <c r="Q11" s="14">
        <f t="shared" ca="1" si="12"/>
        <v>24.47</v>
      </c>
      <c r="R11" s="18">
        <f t="shared" ca="1" si="13"/>
        <v>111</v>
      </c>
      <c r="S11" s="9">
        <f t="shared" ca="1" si="14"/>
        <v>69</v>
      </c>
      <c r="T11" s="14">
        <f t="shared" ca="1" si="15"/>
        <v>14.069999999999979</v>
      </c>
    </row>
    <row r="12" spans="1:20" x14ac:dyDescent="0.25">
      <c r="D12" s="8">
        <v>9</v>
      </c>
      <c r="E12" s="25">
        <f t="shared" ca="1" si="0"/>
        <v>97</v>
      </c>
      <c r="F12" s="18">
        <f t="shared" ca="1" si="1"/>
        <v>97</v>
      </c>
      <c r="G12" s="9">
        <f t="shared" ca="1" si="2"/>
        <v>3</v>
      </c>
      <c r="H12" s="14">
        <f t="shared" ca="1" si="3"/>
        <v>42.089999999999996</v>
      </c>
      <c r="I12" s="18">
        <f t="shared" ca="1" si="4"/>
        <v>97</v>
      </c>
      <c r="J12" s="9">
        <f t="shared" ca="1" si="5"/>
        <v>23</v>
      </c>
      <c r="K12" s="14">
        <f t="shared" ca="1" si="6"/>
        <v>31.689999999999998</v>
      </c>
      <c r="L12" s="18">
        <f t="shared" ca="1" si="7"/>
        <v>97</v>
      </c>
      <c r="M12" s="9">
        <f t="shared" ca="1" si="8"/>
        <v>43</v>
      </c>
      <c r="N12" s="14">
        <f t="shared" ca="1" si="9"/>
        <v>21.290000000000006</v>
      </c>
      <c r="O12" s="18">
        <f t="shared" ca="1" si="10"/>
        <v>97</v>
      </c>
      <c r="P12" s="9">
        <f t="shared" ca="1" si="11"/>
        <v>63</v>
      </c>
      <c r="Q12" s="14">
        <f t="shared" ca="1" si="12"/>
        <v>10.89</v>
      </c>
      <c r="R12" s="18">
        <f t="shared" ca="1" si="13"/>
        <v>97</v>
      </c>
      <c r="S12" s="9">
        <f t="shared" ca="1" si="14"/>
        <v>83</v>
      </c>
      <c r="T12" s="14">
        <f t="shared" ca="1" si="15"/>
        <v>0.48999999999998067</v>
      </c>
    </row>
    <row r="13" spans="1:20" x14ac:dyDescent="0.25">
      <c r="D13" s="8">
        <v>10</v>
      </c>
      <c r="E13" s="25">
        <f t="shared" ca="1" si="0"/>
        <v>161</v>
      </c>
      <c r="F13" s="18">
        <f t="shared" ca="1" si="1"/>
        <v>100</v>
      </c>
      <c r="G13" s="9">
        <f t="shared" ca="1" si="2"/>
        <v>0</v>
      </c>
      <c r="H13" s="14">
        <f t="shared" ca="1" si="3"/>
        <v>44.999999999999993</v>
      </c>
      <c r="I13" s="18">
        <f t="shared" ca="1" si="4"/>
        <v>120</v>
      </c>
      <c r="J13" s="9">
        <f t="shared" ca="1" si="5"/>
        <v>0</v>
      </c>
      <c r="K13" s="14">
        <f t="shared" ca="1" si="6"/>
        <v>54</v>
      </c>
      <c r="L13" s="18">
        <f t="shared" ca="1" si="7"/>
        <v>140</v>
      </c>
      <c r="M13" s="9">
        <f t="shared" ca="1" si="8"/>
        <v>0</v>
      </c>
      <c r="N13" s="14">
        <f t="shared" ca="1" si="9"/>
        <v>63</v>
      </c>
      <c r="O13" s="18">
        <f t="shared" ca="1" si="10"/>
        <v>160</v>
      </c>
      <c r="P13" s="9">
        <f t="shared" ca="1" si="11"/>
        <v>0</v>
      </c>
      <c r="Q13" s="14">
        <f t="shared" ca="1" si="12"/>
        <v>72</v>
      </c>
      <c r="R13" s="18">
        <f t="shared" ca="1" si="13"/>
        <v>161</v>
      </c>
      <c r="S13" s="9">
        <f t="shared" ca="1" si="14"/>
        <v>19</v>
      </c>
      <c r="T13" s="14">
        <f t="shared" ca="1" si="15"/>
        <v>62.569999999999979</v>
      </c>
    </row>
    <row r="14" spans="1:20" x14ac:dyDescent="0.25">
      <c r="D14" s="8">
        <v>11</v>
      </c>
      <c r="E14" s="25">
        <f t="shared" ca="1" si="0"/>
        <v>167</v>
      </c>
      <c r="F14" s="18">
        <f t="shared" ca="1" si="1"/>
        <v>100</v>
      </c>
      <c r="G14" s="9">
        <f t="shared" ca="1" si="2"/>
        <v>0</v>
      </c>
      <c r="H14" s="14">
        <f t="shared" ca="1" si="3"/>
        <v>44.999999999999993</v>
      </c>
      <c r="I14" s="18">
        <f t="shared" ca="1" si="4"/>
        <v>120</v>
      </c>
      <c r="J14" s="9">
        <f t="shared" ca="1" si="5"/>
        <v>0</v>
      </c>
      <c r="K14" s="14">
        <f t="shared" ca="1" si="6"/>
        <v>54</v>
      </c>
      <c r="L14" s="18">
        <f t="shared" ca="1" si="7"/>
        <v>140</v>
      </c>
      <c r="M14" s="9">
        <f t="shared" ca="1" si="8"/>
        <v>0</v>
      </c>
      <c r="N14" s="14">
        <f t="shared" ca="1" si="9"/>
        <v>63</v>
      </c>
      <c r="O14" s="18">
        <f t="shared" ca="1" si="10"/>
        <v>160</v>
      </c>
      <c r="P14" s="9">
        <f t="shared" ca="1" si="11"/>
        <v>0</v>
      </c>
      <c r="Q14" s="14">
        <f t="shared" ca="1" si="12"/>
        <v>72</v>
      </c>
      <c r="R14" s="18">
        <f t="shared" ca="1" si="13"/>
        <v>167</v>
      </c>
      <c r="S14" s="9">
        <f t="shared" ca="1" si="14"/>
        <v>13</v>
      </c>
      <c r="T14" s="14">
        <f t="shared" ca="1" si="15"/>
        <v>68.389999999999972</v>
      </c>
    </row>
    <row r="15" spans="1:20" x14ac:dyDescent="0.25">
      <c r="D15" s="8">
        <v>12</v>
      </c>
      <c r="E15" s="25">
        <f t="shared" ca="1" si="0"/>
        <v>150</v>
      </c>
      <c r="F15" s="18">
        <f t="shared" ca="1" si="1"/>
        <v>100</v>
      </c>
      <c r="G15" s="9">
        <f t="shared" ca="1" si="2"/>
        <v>0</v>
      </c>
      <c r="H15" s="14">
        <f t="shared" ca="1" si="3"/>
        <v>44.999999999999993</v>
      </c>
      <c r="I15" s="18">
        <f t="shared" ca="1" si="4"/>
        <v>120</v>
      </c>
      <c r="J15" s="9">
        <f t="shared" ca="1" si="5"/>
        <v>0</v>
      </c>
      <c r="K15" s="14">
        <f t="shared" ca="1" si="6"/>
        <v>54</v>
      </c>
      <c r="L15" s="18">
        <f t="shared" ca="1" si="7"/>
        <v>140</v>
      </c>
      <c r="M15" s="9">
        <f t="shared" ca="1" si="8"/>
        <v>0</v>
      </c>
      <c r="N15" s="14">
        <f t="shared" ca="1" si="9"/>
        <v>63</v>
      </c>
      <c r="O15" s="18">
        <f t="shared" ca="1" si="10"/>
        <v>150</v>
      </c>
      <c r="P15" s="9">
        <f t="shared" ca="1" si="11"/>
        <v>10</v>
      </c>
      <c r="Q15" s="14">
        <f t="shared" ca="1" si="12"/>
        <v>62.300000000000011</v>
      </c>
      <c r="R15" s="18">
        <f t="shared" ca="1" si="13"/>
        <v>150</v>
      </c>
      <c r="S15" s="9">
        <f t="shared" ca="1" si="14"/>
        <v>30</v>
      </c>
      <c r="T15" s="14">
        <f t="shared" ca="1" si="15"/>
        <v>51.899999999999991</v>
      </c>
    </row>
    <row r="16" spans="1:20" x14ac:dyDescent="0.25">
      <c r="D16" s="8">
        <v>13</v>
      </c>
      <c r="E16" s="25">
        <f t="shared" ca="1" si="0"/>
        <v>143</v>
      </c>
      <c r="F16" s="18">
        <f t="shared" ca="1" si="1"/>
        <v>100</v>
      </c>
      <c r="G16" s="9">
        <f t="shared" ca="1" si="2"/>
        <v>0</v>
      </c>
      <c r="H16" s="14">
        <f t="shared" ca="1" si="3"/>
        <v>44.999999999999993</v>
      </c>
      <c r="I16" s="18">
        <f t="shared" ca="1" si="4"/>
        <v>120</v>
      </c>
      <c r="J16" s="9">
        <f t="shared" ca="1" si="5"/>
        <v>0</v>
      </c>
      <c r="K16" s="14">
        <f t="shared" ca="1" si="6"/>
        <v>54</v>
      </c>
      <c r="L16" s="18">
        <f t="shared" ca="1" si="7"/>
        <v>140</v>
      </c>
      <c r="M16" s="9">
        <f t="shared" ca="1" si="8"/>
        <v>0</v>
      </c>
      <c r="N16" s="14">
        <f t="shared" ca="1" si="9"/>
        <v>63</v>
      </c>
      <c r="O16" s="18">
        <f t="shared" ca="1" si="10"/>
        <v>143</v>
      </c>
      <c r="P16" s="9">
        <f t="shared" ca="1" si="11"/>
        <v>17</v>
      </c>
      <c r="Q16" s="14">
        <f t="shared" ca="1" si="12"/>
        <v>55.509999999999991</v>
      </c>
      <c r="R16" s="18">
        <f t="shared" ca="1" si="13"/>
        <v>143</v>
      </c>
      <c r="S16" s="9">
        <f t="shared" ca="1" si="14"/>
        <v>37</v>
      </c>
      <c r="T16" s="14">
        <f t="shared" ca="1" si="15"/>
        <v>45.11</v>
      </c>
    </row>
    <row r="17" spans="1:20" x14ac:dyDescent="0.25">
      <c r="D17" s="8">
        <v>14</v>
      </c>
      <c r="E17" s="25">
        <f t="shared" ca="1" si="0"/>
        <v>137</v>
      </c>
      <c r="F17" s="18">
        <f t="shared" ca="1" si="1"/>
        <v>100</v>
      </c>
      <c r="G17" s="9">
        <f t="shared" ca="1" si="2"/>
        <v>0</v>
      </c>
      <c r="H17" s="14">
        <f t="shared" ca="1" si="3"/>
        <v>44.999999999999993</v>
      </c>
      <c r="I17" s="18">
        <f t="shared" ca="1" si="4"/>
        <v>120</v>
      </c>
      <c r="J17" s="9">
        <f t="shared" ca="1" si="5"/>
        <v>0</v>
      </c>
      <c r="K17" s="14">
        <f t="shared" ca="1" si="6"/>
        <v>54</v>
      </c>
      <c r="L17" s="18">
        <f t="shared" ca="1" si="7"/>
        <v>137</v>
      </c>
      <c r="M17" s="9">
        <f t="shared" ca="1" si="8"/>
        <v>3</v>
      </c>
      <c r="N17" s="14">
        <f t="shared" ca="1" si="9"/>
        <v>60.09</v>
      </c>
      <c r="O17" s="18">
        <f t="shared" ca="1" si="10"/>
        <v>137</v>
      </c>
      <c r="P17" s="9">
        <f t="shared" ca="1" si="11"/>
        <v>23</v>
      </c>
      <c r="Q17" s="14">
        <f t="shared" ca="1" si="12"/>
        <v>49.69</v>
      </c>
      <c r="R17" s="18">
        <f t="shared" ca="1" si="13"/>
        <v>137</v>
      </c>
      <c r="S17" s="9">
        <f t="shared" ca="1" si="14"/>
        <v>43</v>
      </c>
      <c r="T17" s="14">
        <f t="shared" ca="1" si="15"/>
        <v>39.289999999999978</v>
      </c>
    </row>
    <row r="18" spans="1:20" x14ac:dyDescent="0.25">
      <c r="D18" s="8">
        <v>15</v>
      </c>
      <c r="E18" s="25">
        <f t="shared" ca="1" si="0"/>
        <v>162</v>
      </c>
      <c r="F18" s="18">
        <f t="shared" ca="1" si="1"/>
        <v>100</v>
      </c>
      <c r="G18" s="9">
        <f t="shared" ca="1" si="2"/>
        <v>0</v>
      </c>
      <c r="H18" s="14">
        <f t="shared" ca="1" si="3"/>
        <v>44.999999999999993</v>
      </c>
      <c r="I18" s="18">
        <f t="shared" ca="1" si="4"/>
        <v>120</v>
      </c>
      <c r="J18" s="9">
        <f t="shared" ca="1" si="5"/>
        <v>0</v>
      </c>
      <c r="K18" s="14">
        <f t="shared" ca="1" si="6"/>
        <v>54</v>
      </c>
      <c r="L18" s="18">
        <f t="shared" ca="1" si="7"/>
        <v>140</v>
      </c>
      <c r="M18" s="9">
        <f t="shared" ca="1" si="8"/>
        <v>0</v>
      </c>
      <c r="N18" s="14">
        <f t="shared" ca="1" si="9"/>
        <v>63</v>
      </c>
      <c r="O18" s="18">
        <f t="shared" ca="1" si="10"/>
        <v>160</v>
      </c>
      <c r="P18" s="9">
        <f t="shared" ca="1" si="11"/>
        <v>0</v>
      </c>
      <c r="Q18" s="14">
        <f t="shared" ca="1" si="12"/>
        <v>72</v>
      </c>
      <c r="R18" s="18">
        <f t="shared" ca="1" si="13"/>
        <v>162</v>
      </c>
      <c r="S18" s="9">
        <f t="shared" ca="1" si="14"/>
        <v>18</v>
      </c>
      <c r="T18" s="14">
        <f t="shared" ca="1" si="15"/>
        <v>63.539999999999978</v>
      </c>
    </row>
    <row r="19" spans="1:20" x14ac:dyDescent="0.25">
      <c r="D19" s="8">
        <v>16</v>
      </c>
      <c r="E19" s="25">
        <f t="shared" ca="1" si="0"/>
        <v>110</v>
      </c>
      <c r="F19" s="18">
        <f t="shared" ca="1" si="1"/>
        <v>100</v>
      </c>
      <c r="G19" s="9">
        <f t="shared" ca="1" si="2"/>
        <v>0</v>
      </c>
      <c r="H19" s="14">
        <f t="shared" ca="1" si="3"/>
        <v>44.999999999999993</v>
      </c>
      <c r="I19" s="18">
        <f t="shared" ca="1" si="4"/>
        <v>110</v>
      </c>
      <c r="J19" s="9">
        <f t="shared" ca="1" si="5"/>
        <v>10</v>
      </c>
      <c r="K19" s="14">
        <f t="shared" ca="1" si="6"/>
        <v>44.3</v>
      </c>
      <c r="L19" s="18">
        <f t="shared" ca="1" si="7"/>
        <v>110</v>
      </c>
      <c r="M19" s="9">
        <f t="shared" ca="1" si="8"/>
        <v>30</v>
      </c>
      <c r="N19" s="14">
        <f t="shared" ca="1" si="9"/>
        <v>33.900000000000006</v>
      </c>
      <c r="O19" s="18">
        <f t="shared" ca="1" si="10"/>
        <v>110</v>
      </c>
      <c r="P19" s="9">
        <f t="shared" ca="1" si="11"/>
        <v>50</v>
      </c>
      <c r="Q19" s="14">
        <f t="shared" ca="1" si="12"/>
        <v>23.5</v>
      </c>
      <c r="R19" s="18">
        <f t="shared" ca="1" si="13"/>
        <v>110</v>
      </c>
      <c r="S19" s="9">
        <f t="shared" ca="1" si="14"/>
        <v>70</v>
      </c>
      <c r="T19" s="14">
        <f t="shared" ca="1" si="15"/>
        <v>13.09999999999998</v>
      </c>
    </row>
    <row r="20" spans="1:20" x14ac:dyDescent="0.25">
      <c r="D20" s="8">
        <v>17</v>
      </c>
      <c r="E20" s="25">
        <f t="shared" ca="1" si="0"/>
        <v>164</v>
      </c>
      <c r="F20" s="18">
        <f t="shared" ca="1" si="1"/>
        <v>100</v>
      </c>
      <c r="G20" s="9">
        <f t="shared" ca="1" si="2"/>
        <v>0</v>
      </c>
      <c r="H20" s="14">
        <f t="shared" ca="1" si="3"/>
        <v>44.999999999999993</v>
      </c>
      <c r="I20" s="18">
        <f t="shared" ca="1" si="4"/>
        <v>120</v>
      </c>
      <c r="J20" s="9">
        <f t="shared" ca="1" si="5"/>
        <v>0</v>
      </c>
      <c r="K20" s="14">
        <f t="shared" ca="1" si="6"/>
        <v>54</v>
      </c>
      <c r="L20" s="18">
        <f t="shared" ca="1" si="7"/>
        <v>140</v>
      </c>
      <c r="M20" s="9">
        <f t="shared" ca="1" si="8"/>
        <v>0</v>
      </c>
      <c r="N20" s="14">
        <f t="shared" ca="1" si="9"/>
        <v>63</v>
      </c>
      <c r="O20" s="18">
        <f t="shared" ca="1" si="10"/>
        <v>160</v>
      </c>
      <c r="P20" s="9">
        <f t="shared" ca="1" si="11"/>
        <v>0</v>
      </c>
      <c r="Q20" s="14">
        <f t="shared" ca="1" si="12"/>
        <v>72</v>
      </c>
      <c r="R20" s="18">
        <f t="shared" ca="1" si="13"/>
        <v>164</v>
      </c>
      <c r="S20" s="9">
        <f t="shared" ca="1" si="14"/>
        <v>16</v>
      </c>
      <c r="T20" s="14">
        <f t="shared" ca="1" si="15"/>
        <v>65.479999999999976</v>
      </c>
    </row>
    <row r="21" spans="1:20" x14ac:dyDescent="0.25">
      <c r="D21" s="8">
        <v>18</v>
      </c>
      <c r="E21" s="25">
        <f t="shared" ca="1" si="0"/>
        <v>113</v>
      </c>
      <c r="F21" s="18">
        <f t="shared" ca="1" si="1"/>
        <v>100</v>
      </c>
      <c r="G21" s="9">
        <f t="shared" ca="1" si="2"/>
        <v>0</v>
      </c>
      <c r="H21" s="14">
        <f t="shared" ca="1" si="3"/>
        <v>44.999999999999993</v>
      </c>
      <c r="I21" s="18">
        <f t="shared" ca="1" si="4"/>
        <v>113</v>
      </c>
      <c r="J21" s="9">
        <f t="shared" ca="1" si="5"/>
        <v>7</v>
      </c>
      <c r="K21" s="14">
        <f t="shared" ca="1" si="6"/>
        <v>47.209999999999994</v>
      </c>
      <c r="L21" s="18">
        <f t="shared" ca="1" si="7"/>
        <v>113</v>
      </c>
      <c r="M21" s="9">
        <f t="shared" ca="1" si="8"/>
        <v>27</v>
      </c>
      <c r="N21" s="14">
        <f t="shared" ca="1" si="9"/>
        <v>36.81</v>
      </c>
      <c r="O21" s="18">
        <f t="shared" ca="1" si="10"/>
        <v>113</v>
      </c>
      <c r="P21" s="9">
        <f t="shared" ca="1" si="11"/>
        <v>47</v>
      </c>
      <c r="Q21" s="14">
        <f t="shared" ca="1" si="12"/>
        <v>26.409999999999997</v>
      </c>
      <c r="R21" s="18">
        <f t="shared" ca="1" si="13"/>
        <v>113</v>
      </c>
      <c r="S21" s="9">
        <f t="shared" ca="1" si="14"/>
        <v>67</v>
      </c>
      <c r="T21" s="14">
        <f t="shared" ca="1" si="15"/>
        <v>16.009999999999991</v>
      </c>
    </row>
    <row r="22" spans="1:20" x14ac:dyDescent="0.25">
      <c r="D22" s="8">
        <v>19</v>
      </c>
      <c r="E22" s="25">
        <f t="shared" ca="1" si="0"/>
        <v>115</v>
      </c>
      <c r="F22" s="18">
        <f t="shared" ca="1" si="1"/>
        <v>100</v>
      </c>
      <c r="G22" s="9">
        <f t="shared" ca="1" si="2"/>
        <v>0</v>
      </c>
      <c r="H22" s="14">
        <f t="shared" ca="1" si="3"/>
        <v>44.999999999999993</v>
      </c>
      <c r="I22" s="18">
        <f t="shared" ca="1" si="4"/>
        <v>115</v>
      </c>
      <c r="J22" s="9">
        <f t="shared" ca="1" si="5"/>
        <v>5</v>
      </c>
      <c r="K22" s="14">
        <f t="shared" ca="1" si="6"/>
        <v>49.150000000000006</v>
      </c>
      <c r="L22" s="18">
        <f t="shared" ca="1" si="7"/>
        <v>115</v>
      </c>
      <c r="M22" s="9">
        <f t="shared" ca="1" si="8"/>
        <v>25</v>
      </c>
      <c r="N22" s="14">
        <f t="shared" ca="1" si="9"/>
        <v>38.75</v>
      </c>
      <c r="O22" s="18">
        <f t="shared" ca="1" si="10"/>
        <v>115</v>
      </c>
      <c r="P22" s="9">
        <f t="shared" ca="1" si="11"/>
        <v>45</v>
      </c>
      <c r="Q22" s="14">
        <f t="shared" ca="1" si="12"/>
        <v>28.349999999999994</v>
      </c>
      <c r="R22" s="18">
        <f t="shared" ca="1" si="13"/>
        <v>115</v>
      </c>
      <c r="S22" s="9">
        <f t="shared" ca="1" si="14"/>
        <v>65</v>
      </c>
      <c r="T22" s="14">
        <f t="shared" ca="1" si="15"/>
        <v>17.949999999999989</v>
      </c>
    </row>
    <row r="23" spans="1:20" x14ac:dyDescent="0.25">
      <c r="D23" s="8">
        <v>20</v>
      </c>
      <c r="E23" s="25">
        <f t="shared" ca="1" si="0"/>
        <v>167</v>
      </c>
      <c r="F23" s="18">
        <f t="shared" ca="1" si="1"/>
        <v>100</v>
      </c>
      <c r="G23" s="9">
        <f t="shared" ca="1" si="2"/>
        <v>0</v>
      </c>
      <c r="H23" s="14">
        <f t="shared" ca="1" si="3"/>
        <v>44.999999999999993</v>
      </c>
      <c r="I23" s="18">
        <f t="shared" ca="1" si="4"/>
        <v>120</v>
      </c>
      <c r="J23" s="9">
        <f t="shared" ca="1" si="5"/>
        <v>0</v>
      </c>
      <c r="K23" s="14">
        <f t="shared" ca="1" si="6"/>
        <v>54</v>
      </c>
      <c r="L23" s="18">
        <f t="shared" ca="1" si="7"/>
        <v>140</v>
      </c>
      <c r="M23" s="9">
        <f t="shared" ca="1" si="8"/>
        <v>0</v>
      </c>
      <c r="N23" s="14">
        <f t="shared" ca="1" si="9"/>
        <v>63</v>
      </c>
      <c r="O23" s="18">
        <f t="shared" ca="1" si="10"/>
        <v>160</v>
      </c>
      <c r="P23" s="9">
        <f t="shared" ca="1" si="11"/>
        <v>0</v>
      </c>
      <c r="Q23" s="14">
        <f t="shared" ca="1" si="12"/>
        <v>72</v>
      </c>
      <c r="R23" s="18">
        <f t="shared" ca="1" si="13"/>
        <v>167</v>
      </c>
      <c r="S23" s="9">
        <f t="shared" ca="1" si="14"/>
        <v>13</v>
      </c>
      <c r="T23" s="14">
        <f t="shared" ca="1" si="15"/>
        <v>68.389999999999972</v>
      </c>
    </row>
    <row r="24" spans="1:20" x14ac:dyDescent="0.25">
      <c r="D24" s="8">
        <v>21</v>
      </c>
      <c r="E24" s="25">
        <f t="shared" ca="1" si="0"/>
        <v>137</v>
      </c>
      <c r="F24" s="18">
        <f t="shared" ca="1" si="1"/>
        <v>100</v>
      </c>
      <c r="G24" s="9">
        <f t="shared" ca="1" si="2"/>
        <v>0</v>
      </c>
      <c r="H24" s="14">
        <f t="shared" ca="1" si="3"/>
        <v>44.999999999999993</v>
      </c>
      <c r="I24" s="18">
        <f t="shared" ca="1" si="4"/>
        <v>120</v>
      </c>
      <c r="J24" s="9">
        <f t="shared" ca="1" si="5"/>
        <v>0</v>
      </c>
      <c r="K24" s="14">
        <f t="shared" ca="1" si="6"/>
        <v>54</v>
      </c>
      <c r="L24" s="18">
        <f t="shared" ca="1" si="7"/>
        <v>137</v>
      </c>
      <c r="M24" s="9">
        <f t="shared" ca="1" si="8"/>
        <v>3</v>
      </c>
      <c r="N24" s="14">
        <f t="shared" ca="1" si="9"/>
        <v>60.09</v>
      </c>
      <c r="O24" s="18">
        <f t="shared" ca="1" si="10"/>
        <v>137</v>
      </c>
      <c r="P24" s="9">
        <f t="shared" ca="1" si="11"/>
        <v>23</v>
      </c>
      <c r="Q24" s="14">
        <f t="shared" ca="1" si="12"/>
        <v>49.69</v>
      </c>
      <c r="R24" s="18">
        <f t="shared" ca="1" si="13"/>
        <v>137</v>
      </c>
      <c r="S24" s="9">
        <f t="shared" ca="1" si="14"/>
        <v>43</v>
      </c>
      <c r="T24" s="14">
        <f t="shared" ca="1" si="15"/>
        <v>39.289999999999978</v>
      </c>
    </row>
    <row r="25" spans="1:20" x14ac:dyDescent="0.25">
      <c r="D25" s="8">
        <v>22</v>
      </c>
      <c r="E25" s="25">
        <f t="shared" ca="1" si="0"/>
        <v>147</v>
      </c>
      <c r="F25" s="18">
        <f t="shared" ca="1" si="1"/>
        <v>100</v>
      </c>
      <c r="G25" s="9">
        <f t="shared" ca="1" si="2"/>
        <v>0</v>
      </c>
      <c r="H25" s="14">
        <f t="shared" ca="1" si="3"/>
        <v>44.999999999999993</v>
      </c>
      <c r="I25" s="18">
        <f t="shared" ca="1" si="4"/>
        <v>120</v>
      </c>
      <c r="J25" s="9">
        <f t="shared" ca="1" si="5"/>
        <v>0</v>
      </c>
      <c r="K25" s="14">
        <f t="shared" ca="1" si="6"/>
        <v>54</v>
      </c>
      <c r="L25" s="18">
        <f t="shared" ca="1" si="7"/>
        <v>140</v>
      </c>
      <c r="M25" s="9">
        <f t="shared" ca="1" si="8"/>
        <v>0</v>
      </c>
      <c r="N25" s="14">
        <f t="shared" ca="1" si="9"/>
        <v>63</v>
      </c>
      <c r="O25" s="18">
        <f t="shared" ca="1" si="10"/>
        <v>147</v>
      </c>
      <c r="P25" s="9">
        <f t="shared" ca="1" si="11"/>
        <v>13</v>
      </c>
      <c r="Q25" s="14">
        <f t="shared" ca="1" si="12"/>
        <v>59.389999999999986</v>
      </c>
      <c r="R25" s="18">
        <f t="shared" ca="1" si="13"/>
        <v>147</v>
      </c>
      <c r="S25" s="9">
        <f t="shared" ca="1" si="14"/>
        <v>33</v>
      </c>
      <c r="T25" s="14">
        <f t="shared" ca="1" si="15"/>
        <v>48.989999999999995</v>
      </c>
    </row>
    <row r="26" spans="1:20" x14ac:dyDescent="0.25">
      <c r="D26" s="8">
        <v>23</v>
      </c>
      <c r="E26" s="25">
        <f t="shared" ca="1" si="0"/>
        <v>140</v>
      </c>
      <c r="F26" s="18">
        <f t="shared" ca="1" si="1"/>
        <v>100</v>
      </c>
      <c r="G26" s="9">
        <f t="shared" ca="1" si="2"/>
        <v>0</v>
      </c>
      <c r="H26" s="14">
        <f t="shared" ca="1" si="3"/>
        <v>44.999999999999993</v>
      </c>
      <c r="I26" s="18">
        <f t="shared" ca="1" si="4"/>
        <v>120</v>
      </c>
      <c r="J26" s="9">
        <f t="shared" ca="1" si="5"/>
        <v>0</v>
      </c>
      <c r="K26" s="14">
        <f t="shared" ca="1" si="6"/>
        <v>54</v>
      </c>
      <c r="L26" s="18">
        <f t="shared" ca="1" si="7"/>
        <v>140</v>
      </c>
      <c r="M26" s="9">
        <f t="shared" ca="1" si="8"/>
        <v>0</v>
      </c>
      <c r="N26" s="14">
        <f t="shared" ca="1" si="9"/>
        <v>63</v>
      </c>
      <c r="O26" s="18">
        <f t="shared" ca="1" si="10"/>
        <v>140</v>
      </c>
      <c r="P26" s="9">
        <f t="shared" ca="1" si="11"/>
        <v>20</v>
      </c>
      <c r="Q26" s="14">
        <f t="shared" ca="1" si="12"/>
        <v>52.599999999999994</v>
      </c>
      <c r="R26" s="18">
        <f t="shared" ca="1" si="13"/>
        <v>140</v>
      </c>
      <c r="S26" s="9">
        <f t="shared" ca="1" si="14"/>
        <v>40</v>
      </c>
      <c r="T26" s="14">
        <f t="shared" ca="1" si="15"/>
        <v>42.199999999999974</v>
      </c>
    </row>
    <row r="27" spans="1:20" x14ac:dyDescent="0.25">
      <c r="A27" t="s">
        <v>20</v>
      </c>
      <c r="D27" s="8">
        <v>24</v>
      </c>
      <c r="E27" s="25">
        <f t="shared" ca="1" si="0"/>
        <v>162</v>
      </c>
      <c r="F27" s="18">
        <f t="shared" ca="1" si="1"/>
        <v>100</v>
      </c>
      <c r="G27" s="9">
        <f t="shared" ca="1" si="2"/>
        <v>0</v>
      </c>
      <c r="H27" s="14">
        <f t="shared" ca="1" si="3"/>
        <v>44.999999999999993</v>
      </c>
      <c r="I27" s="18">
        <f t="shared" ca="1" si="4"/>
        <v>120</v>
      </c>
      <c r="J27" s="9">
        <f t="shared" ca="1" si="5"/>
        <v>0</v>
      </c>
      <c r="K27" s="14">
        <f t="shared" ca="1" si="6"/>
        <v>54</v>
      </c>
      <c r="L27" s="18">
        <f t="shared" ca="1" si="7"/>
        <v>140</v>
      </c>
      <c r="M27" s="9">
        <f t="shared" ca="1" si="8"/>
        <v>0</v>
      </c>
      <c r="N27" s="14">
        <f t="shared" ca="1" si="9"/>
        <v>63</v>
      </c>
      <c r="O27" s="18">
        <f t="shared" ca="1" si="10"/>
        <v>160</v>
      </c>
      <c r="P27" s="9">
        <f t="shared" ca="1" si="11"/>
        <v>0</v>
      </c>
      <c r="Q27" s="14">
        <f t="shared" ca="1" si="12"/>
        <v>72</v>
      </c>
      <c r="R27" s="18">
        <f t="shared" ca="1" si="13"/>
        <v>162</v>
      </c>
      <c r="S27" s="9">
        <f t="shared" ca="1" si="14"/>
        <v>18</v>
      </c>
      <c r="T27" s="14">
        <f t="shared" ca="1" si="15"/>
        <v>63.539999999999978</v>
      </c>
    </row>
    <row r="28" spans="1:20" x14ac:dyDescent="0.25">
      <c r="D28" s="8">
        <v>25</v>
      </c>
      <c r="E28" s="25">
        <f t="shared" ca="1" si="0"/>
        <v>90</v>
      </c>
      <c r="F28" s="18">
        <f t="shared" ca="1" si="1"/>
        <v>90</v>
      </c>
      <c r="G28" s="9">
        <f t="shared" ca="1" si="2"/>
        <v>10</v>
      </c>
      <c r="H28" s="14">
        <f t="shared" ca="1" si="3"/>
        <v>35.29999999999999</v>
      </c>
      <c r="I28" s="18">
        <f t="shared" ca="1" si="4"/>
        <v>90</v>
      </c>
      <c r="J28" s="9">
        <f t="shared" ca="1" si="5"/>
        <v>30</v>
      </c>
      <c r="K28" s="14">
        <f t="shared" ca="1" si="6"/>
        <v>24.900000000000006</v>
      </c>
      <c r="L28" s="18">
        <f t="shared" ca="1" si="7"/>
        <v>90</v>
      </c>
      <c r="M28" s="9">
        <f t="shared" ca="1" si="8"/>
        <v>50</v>
      </c>
      <c r="N28" s="14">
        <f t="shared" ca="1" si="9"/>
        <v>14.5</v>
      </c>
      <c r="O28" s="18">
        <f t="shared" ca="1" si="10"/>
        <v>90</v>
      </c>
      <c r="P28" s="9">
        <f t="shared" ca="1" si="11"/>
        <v>70</v>
      </c>
      <c r="Q28" s="14">
        <f t="shared" ca="1" si="12"/>
        <v>4.0999999999999943</v>
      </c>
      <c r="R28" s="18">
        <f t="shared" ca="1" si="13"/>
        <v>90</v>
      </c>
      <c r="S28" s="9">
        <f t="shared" ca="1" si="14"/>
        <v>90</v>
      </c>
      <c r="T28" s="14">
        <f t="shared" ca="1" si="15"/>
        <v>-6.3000000000000114</v>
      </c>
    </row>
    <row r="29" spans="1:20" x14ac:dyDescent="0.25">
      <c r="D29" s="8">
        <v>26</v>
      </c>
      <c r="E29" s="25">
        <f t="shared" ca="1" si="0"/>
        <v>146</v>
      </c>
      <c r="F29" s="18">
        <f t="shared" ca="1" si="1"/>
        <v>100</v>
      </c>
      <c r="G29" s="9">
        <f t="shared" ca="1" si="2"/>
        <v>0</v>
      </c>
      <c r="H29" s="14">
        <f t="shared" ca="1" si="3"/>
        <v>44.999999999999993</v>
      </c>
      <c r="I29" s="18">
        <f t="shared" ca="1" si="4"/>
        <v>120</v>
      </c>
      <c r="J29" s="9">
        <f t="shared" ca="1" si="5"/>
        <v>0</v>
      </c>
      <c r="K29" s="14">
        <f t="shared" ca="1" si="6"/>
        <v>54</v>
      </c>
      <c r="L29" s="18">
        <f t="shared" ca="1" si="7"/>
        <v>140</v>
      </c>
      <c r="M29" s="9">
        <f t="shared" ca="1" si="8"/>
        <v>0</v>
      </c>
      <c r="N29" s="14">
        <f t="shared" ca="1" si="9"/>
        <v>63</v>
      </c>
      <c r="O29" s="18">
        <f t="shared" ca="1" si="10"/>
        <v>146</v>
      </c>
      <c r="P29" s="9">
        <f t="shared" ca="1" si="11"/>
        <v>14</v>
      </c>
      <c r="Q29" s="14">
        <f t="shared" ca="1" si="12"/>
        <v>58.419999999999987</v>
      </c>
      <c r="R29" s="18">
        <f t="shared" ca="1" si="13"/>
        <v>146</v>
      </c>
      <c r="S29" s="9">
        <f t="shared" ca="1" si="14"/>
        <v>34</v>
      </c>
      <c r="T29" s="14">
        <f t="shared" ca="1" si="15"/>
        <v>48.019999999999996</v>
      </c>
    </row>
    <row r="30" spans="1:20" x14ac:dyDescent="0.25">
      <c r="D30" s="8">
        <v>27</v>
      </c>
      <c r="E30" s="25">
        <f t="shared" ca="1" si="0"/>
        <v>106</v>
      </c>
      <c r="F30" s="18">
        <f t="shared" ca="1" si="1"/>
        <v>100</v>
      </c>
      <c r="G30" s="9">
        <f t="shared" ca="1" si="2"/>
        <v>0</v>
      </c>
      <c r="H30" s="14">
        <f t="shared" ca="1" si="3"/>
        <v>44.999999999999993</v>
      </c>
      <c r="I30" s="18">
        <f t="shared" ca="1" si="4"/>
        <v>106</v>
      </c>
      <c r="J30" s="9">
        <f t="shared" ca="1" si="5"/>
        <v>14</v>
      </c>
      <c r="K30" s="14">
        <f t="shared" ca="1" si="6"/>
        <v>40.42</v>
      </c>
      <c r="L30" s="18">
        <f t="shared" ca="1" si="7"/>
        <v>106</v>
      </c>
      <c r="M30" s="9">
        <f t="shared" ca="1" si="8"/>
        <v>34</v>
      </c>
      <c r="N30" s="14">
        <f t="shared" ca="1" si="9"/>
        <v>30.019999999999996</v>
      </c>
      <c r="O30" s="18">
        <f t="shared" ca="1" si="10"/>
        <v>106</v>
      </c>
      <c r="P30" s="9">
        <f t="shared" ca="1" si="11"/>
        <v>54</v>
      </c>
      <c r="Q30" s="14">
        <f t="shared" ca="1" si="12"/>
        <v>19.620000000000005</v>
      </c>
      <c r="R30" s="18">
        <f t="shared" ca="1" si="13"/>
        <v>106</v>
      </c>
      <c r="S30" s="9">
        <f t="shared" ca="1" si="14"/>
        <v>74</v>
      </c>
      <c r="T30" s="14">
        <f t="shared" ca="1" si="15"/>
        <v>9.2199999999999847</v>
      </c>
    </row>
    <row r="31" spans="1:20" x14ac:dyDescent="0.25">
      <c r="D31" s="8">
        <v>28</v>
      </c>
      <c r="E31" s="25">
        <f t="shared" ca="1" si="0"/>
        <v>144</v>
      </c>
      <c r="F31" s="18">
        <f t="shared" ca="1" si="1"/>
        <v>100</v>
      </c>
      <c r="G31" s="9">
        <f t="shared" ca="1" si="2"/>
        <v>0</v>
      </c>
      <c r="H31" s="14">
        <f t="shared" ca="1" si="3"/>
        <v>44.999999999999993</v>
      </c>
      <c r="I31" s="18">
        <f t="shared" ca="1" si="4"/>
        <v>120</v>
      </c>
      <c r="J31" s="9">
        <f t="shared" ca="1" si="5"/>
        <v>0</v>
      </c>
      <c r="K31" s="14">
        <f t="shared" ca="1" si="6"/>
        <v>54</v>
      </c>
      <c r="L31" s="18">
        <f t="shared" ca="1" si="7"/>
        <v>140</v>
      </c>
      <c r="M31" s="9">
        <f t="shared" ca="1" si="8"/>
        <v>0</v>
      </c>
      <c r="N31" s="14">
        <f t="shared" ca="1" si="9"/>
        <v>63</v>
      </c>
      <c r="O31" s="18">
        <f t="shared" ca="1" si="10"/>
        <v>144</v>
      </c>
      <c r="P31" s="9">
        <f t="shared" ca="1" si="11"/>
        <v>16</v>
      </c>
      <c r="Q31" s="14">
        <f t="shared" ca="1" si="12"/>
        <v>56.47999999999999</v>
      </c>
      <c r="R31" s="18">
        <f t="shared" ca="1" si="13"/>
        <v>144</v>
      </c>
      <c r="S31" s="9">
        <f t="shared" ca="1" si="14"/>
        <v>36</v>
      </c>
      <c r="T31" s="14">
        <f t="shared" ca="1" si="15"/>
        <v>46.08</v>
      </c>
    </row>
    <row r="32" spans="1:20" x14ac:dyDescent="0.25">
      <c r="D32" s="8">
        <v>29</v>
      </c>
      <c r="E32" s="25">
        <f t="shared" ca="1" si="0"/>
        <v>144</v>
      </c>
      <c r="F32" s="18">
        <f t="shared" ca="1" si="1"/>
        <v>100</v>
      </c>
      <c r="G32" s="9">
        <f t="shared" ca="1" si="2"/>
        <v>0</v>
      </c>
      <c r="H32" s="14">
        <f t="shared" ca="1" si="3"/>
        <v>44.999999999999993</v>
      </c>
      <c r="I32" s="18">
        <f t="shared" ca="1" si="4"/>
        <v>120</v>
      </c>
      <c r="J32" s="9">
        <f t="shared" ca="1" si="5"/>
        <v>0</v>
      </c>
      <c r="K32" s="14">
        <f t="shared" ca="1" si="6"/>
        <v>54</v>
      </c>
      <c r="L32" s="18">
        <f t="shared" ca="1" si="7"/>
        <v>140</v>
      </c>
      <c r="M32" s="9">
        <f t="shared" ca="1" si="8"/>
        <v>0</v>
      </c>
      <c r="N32" s="14">
        <f t="shared" ca="1" si="9"/>
        <v>63</v>
      </c>
      <c r="O32" s="18">
        <f t="shared" ca="1" si="10"/>
        <v>144</v>
      </c>
      <c r="P32" s="9">
        <f t="shared" ca="1" si="11"/>
        <v>16</v>
      </c>
      <c r="Q32" s="14">
        <f t="shared" ca="1" si="12"/>
        <v>56.47999999999999</v>
      </c>
      <c r="R32" s="18">
        <f t="shared" ca="1" si="13"/>
        <v>144</v>
      </c>
      <c r="S32" s="9">
        <f t="shared" ca="1" si="14"/>
        <v>36</v>
      </c>
      <c r="T32" s="14">
        <f t="shared" ca="1" si="15"/>
        <v>46.08</v>
      </c>
    </row>
    <row r="33" spans="4:21" ht="13.8" thickBot="1" x14ac:dyDescent="0.3">
      <c r="D33" s="10">
        <v>30</v>
      </c>
      <c r="E33" s="26">
        <f t="shared" ca="1" si="0"/>
        <v>129</v>
      </c>
      <c r="F33" s="18">
        <f t="shared" ca="1" si="1"/>
        <v>100</v>
      </c>
      <c r="G33" s="9">
        <f t="shared" ca="1" si="2"/>
        <v>0</v>
      </c>
      <c r="H33" s="14">
        <f t="shared" ca="1" si="3"/>
        <v>44.999999999999993</v>
      </c>
      <c r="I33" s="18">
        <f t="shared" ca="1" si="4"/>
        <v>120</v>
      </c>
      <c r="J33" s="9">
        <f t="shared" ca="1" si="5"/>
        <v>0</v>
      </c>
      <c r="K33" s="14">
        <f t="shared" ca="1" si="6"/>
        <v>54</v>
      </c>
      <c r="L33" s="18">
        <f t="shared" ca="1" si="7"/>
        <v>129</v>
      </c>
      <c r="M33" s="9">
        <f t="shared" ca="1" si="8"/>
        <v>11</v>
      </c>
      <c r="N33" s="14">
        <f t="shared" ca="1" si="9"/>
        <v>52.330000000000013</v>
      </c>
      <c r="O33" s="18">
        <f t="shared" ca="1" si="10"/>
        <v>129</v>
      </c>
      <c r="P33" s="9">
        <f t="shared" ca="1" si="11"/>
        <v>31</v>
      </c>
      <c r="Q33" s="14">
        <f t="shared" ca="1" si="12"/>
        <v>41.930000000000007</v>
      </c>
      <c r="R33" s="18">
        <f t="shared" ca="1" si="13"/>
        <v>129</v>
      </c>
      <c r="S33" s="9">
        <f t="shared" ca="1" si="14"/>
        <v>51</v>
      </c>
      <c r="T33" s="14">
        <f t="shared" ca="1" si="15"/>
        <v>31.529999999999987</v>
      </c>
    </row>
    <row r="34" spans="4:21" x14ac:dyDescent="0.25">
      <c r="F34" s="43" t="s">
        <v>12</v>
      </c>
      <c r="G34" s="44"/>
      <c r="H34" s="15">
        <f ca="1">AVERAGE(H4:H33)</f>
        <v>44.579666666666661</v>
      </c>
      <c r="I34" s="43" t="s">
        <v>12</v>
      </c>
      <c r="J34" s="44"/>
      <c r="K34" s="15">
        <f ca="1">AVERAGE(K4:K33)</f>
        <v>50.831333333333333</v>
      </c>
      <c r="L34" s="43" t="s">
        <v>12</v>
      </c>
      <c r="M34" s="44"/>
      <c r="N34" s="15">
        <f ca="1">AVERAGE(N4:N33)</f>
        <v>53.752666666666663</v>
      </c>
      <c r="O34" s="43" t="s">
        <v>12</v>
      </c>
      <c r="P34" s="44"/>
      <c r="Q34" s="27">
        <f ca="1">AVERAGE(Q4:Q33)</f>
        <v>49.786999999999999</v>
      </c>
      <c r="R34" s="43" t="s">
        <v>12</v>
      </c>
      <c r="S34" s="44"/>
      <c r="T34" s="15">
        <f ca="1">AVERAGE(T4:T33)</f>
        <v>40.195333333333316</v>
      </c>
    </row>
    <row r="35" spans="4:21" ht="13.8" thickBot="1" x14ac:dyDescent="0.3">
      <c r="F35" s="45" t="s">
        <v>5</v>
      </c>
      <c r="G35" s="46"/>
      <c r="H35" s="16">
        <f ca="1">2.045*STDEV(H4:H33)/SQRT(COUNT(H4:H33))</f>
        <v>0.68374738134564794</v>
      </c>
      <c r="I35" s="45" t="s">
        <v>5</v>
      </c>
      <c r="J35" s="46"/>
      <c r="K35" s="16">
        <f ca="1">2.045*STDEV(K4:K33)/SQRT(COUNT(K4:K33))</f>
        <v>2.6561289727124238</v>
      </c>
      <c r="L35" s="45" t="s">
        <v>5</v>
      </c>
      <c r="M35" s="46"/>
      <c r="N35" s="16">
        <f ca="1">2.045*STDEV(N4:N33)/SQRT(COUNT(N4:N33))</f>
        <v>5.3681559991405736</v>
      </c>
      <c r="O35" s="45" t="s">
        <v>5</v>
      </c>
      <c r="P35" s="46"/>
      <c r="Q35" s="28">
        <f ca="1">2.045*STDEV(Q4:Q33)/SQRT(COUNT(Q4:Q33))</f>
        <v>7.4576107082989544</v>
      </c>
      <c r="R35" s="45" t="s">
        <v>5</v>
      </c>
      <c r="S35" s="46"/>
      <c r="T35" s="16">
        <f ca="1">2.045*STDEV(T4:T33)/SQRT(COUNT(T4:T33))</f>
        <v>7.827820841213132</v>
      </c>
      <c r="U35" t="s">
        <v>21</v>
      </c>
    </row>
    <row r="36" spans="4:21" ht="13.8" thickBot="1" x14ac:dyDescent="0.3">
      <c r="F36" s="41" t="s">
        <v>14</v>
      </c>
      <c r="G36" s="42"/>
      <c r="H36" s="29">
        <f ca="1" xml:space="preserve"> COUNTIF(H4:H33,"&lt; 0")/COUNT(H4:H33)</f>
        <v>0</v>
      </c>
      <c r="I36" s="41" t="s">
        <v>14</v>
      </c>
      <c r="J36" s="42"/>
      <c r="K36" s="29">
        <f ca="1" xml:space="preserve"> COUNTIF(K4:K33,"&lt; 0")/COUNT(K4:K33)</f>
        <v>0</v>
      </c>
      <c r="L36" s="41" t="s">
        <v>14</v>
      </c>
      <c r="M36" s="42"/>
      <c r="N36" s="29">
        <f ca="1" xml:space="preserve"> COUNTIF(N4:N33,"&lt; 0")/COUNT(N4:N33)</f>
        <v>0</v>
      </c>
      <c r="O36" s="41" t="s">
        <v>14</v>
      </c>
      <c r="P36" s="42"/>
      <c r="Q36" s="29">
        <f ca="1" xml:space="preserve"> COUNTIF(Q4:Q33,"&lt; 0")/COUNT(Q4:Q33)</f>
        <v>0</v>
      </c>
      <c r="R36" s="41" t="s">
        <v>14</v>
      </c>
      <c r="S36" s="42"/>
      <c r="T36" s="29">
        <f ca="1" xml:space="preserve"> COUNTIF(T4:T33,"&lt; 0")/COUNT(T4:T33)</f>
        <v>3.3333333333333333E-2</v>
      </c>
    </row>
    <row r="37" spans="4:21" ht="13.8" thickBot="1" x14ac:dyDescent="0.3">
      <c r="F37" s="30"/>
      <c r="G37" s="30"/>
      <c r="H37" s="31"/>
      <c r="I37" s="30"/>
      <c r="J37" s="30"/>
      <c r="K37" s="31"/>
      <c r="L37" s="30"/>
      <c r="M37" s="30"/>
      <c r="N37" s="31"/>
      <c r="O37" s="30"/>
      <c r="P37" s="30"/>
      <c r="Q37" s="31"/>
      <c r="R37" s="30"/>
      <c r="S37" s="30"/>
      <c r="T37" s="31"/>
    </row>
    <row r="38" spans="4:21" s="2" customFormat="1" x14ac:dyDescent="0.25">
      <c r="D38" s="38" t="s">
        <v>19</v>
      </c>
      <c r="E38" s="35" t="s">
        <v>16</v>
      </c>
      <c r="F38" s="17"/>
      <c r="G38" s="36" t="s">
        <v>17</v>
      </c>
      <c r="H38" s="37" t="s">
        <v>18</v>
      </c>
      <c r="I38" s="17"/>
      <c r="J38" s="36" t="s">
        <v>17</v>
      </c>
      <c r="K38" s="37" t="s">
        <v>18</v>
      </c>
      <c r="L38" s="17"/>
      <c r="M38" s="36" t="s">
        <v>17</v>
      </c>
      <c r="N38" s="37" t="s">
        <v>18</v>
      </c>
      <c r="O38" s="17"/>
      <c r="P38" s="36" t="s">
        <v>17</v>
      </c>
      <c r="Q38" s="37" t="s">
        <v>18</v>
      </c>
      <c r="R38" s="17"/>
      <c r="S38" s="36" t="s">
        <v>17</v>
      </c>
      <c r="T38" s="37" t="s">
        <v>18</v>
      </c>
    </row>
    <row r="39" spans="4:21" x14ac:dyDescent="0.25">
      <c r="D39" s="39"/>
      <c r="E39" s="32">
        <v>-40</v>
      </c>
      <c r="F39" s="8"/>
      <c r="G39">
        <f ca="1">COUNTIF(H$4:H$33,"&lt; -40")</f>
        <v>0</v>
      </c>
      <c r="H39" s="25">
        <f ca="1">G39</f>
        <v>0</v>
      </c>
      <c r="I39" s="8"/>
      <c r="J39">
        <f ca="1">COUNTIF(K$4:K$33,"&lt; -40")</f>
        <v>0</v>
      </c>
      <c r="K39" s="25">
        <f ca="1">J39</f>
        <v>0</v>
      </c>
      <c r="L39" s="8"/>
      <c r="M39">
        <f ca="1">COUNTIF(N$4:N$33,"&lt; -40")</f>
        <v>0</v>
      </c>
      <c r="N39" s="25">
        <f ca="1">M39</f>
        <v>0</v>
      </c>
      <c r="O39" s="8"/>
      <c r="P39">
        <f ca="1">COUNTIF(Q$4:Q$33,"&lt; -40")</f>
        <v>0</v>
      </c>
      <c r="Q39" s="25">
        <f ca="1">P39</f>
        <v>0</v>
      </c>
      <c r="R39" s="8"/>
      <c r="S39">
        <f ca="1">COUNTIF(T$4:T$33,"&lt; -40")</f>
        <v>0</v>
      </c>
      <c r="T39" s="25">
        <f ca="1">S39</f>
        <v>0</v>
      </c>
    </row>
    <row r="40" spans="4:21" x14ac:dyDescent="0.25">
      <c r="D40" s="39"/>
      <c r="E40" s="32">
        <v>-20</v>
      </c>
      <c r="F40" s="8"/>
      <c r="G40">
        <f ca="1">COUNTIF(H$4:H$33,"&lt; -20")</f>
        <v>0</v>
      </c>
      <c r="H40" s="25">
        <f ca="1">G40-G39</f>
        <v>0</v>
      </c>
      <c r="I40" s="8"/>
      <c r="J40">
        <f ca="1">COUNTIF(K$4:K$33,"&lt; -20")</f>
        <v>0</v>
      </c>
      <c r="K40" s="25">
        <f ca="1">J40-J39</f>
        <v>0</v>
      </c>
      <c r="L40" s="8"/>
      <c r="M40">
        <f ca="1">COUNTIF(N$4:N$33,"&lt; -20")</f>
        <v>0</v>
      </c>
      <c r="N40" s="25">
        <f ca="1">M40-M39</f>
        <v>0</v>
      </c>
      <c r="O40" s="8"/>
      <c r="P40">
        <f ca="1">COUNTIF(Q$4:Q$33,"&lt; -20")</f>
        <v>0</v>
      </c>
      <c r="Q40" s="25">
        <f ca="1">P40-P39</f>
        <v>0</v>
      </c>
      <c r="R40" s="8"/>
      <c r="S40">
        <f ca="1">COUNTIF(T$4:T$33,"&lt; -20")</f>
        <v>0</v>
      </c>
      <c r="T40" s="25">
        <f t="shared" ref="T40:T46" ca="1" si="16">S40-S39</f>
        <v>0</v>
      </c>
    </row>
    <row r="41" spans="4:21" x14ac:dyDescent="0.25">
      <c r="D41" s="39"/>
      <c r="E41" s="32">
        <v>0</v>
      </c>
      <c r="F41" s="8"/>
      <c r="G41">
        <f ca="1">COUNTIF(H$4:H$33,"&lt; 0")</f>
        <v>0</v>
      </c>
      <c r="H41" s="25">
        <f t="shared" ref="H41:H46" ca="1" si="17">G41-G40</f>
        <v>0</v>
      </c>
      <c r="I41" s="8"/>
      <c r="J41">
        <f ca="1">COUNTIF(K$4:K$33,"&lt; 0")</f>
        <v>0</v>
      </c>
      <c r="K41" s="25">
        <f t="shared" ref="K41:K46" ca="1" si="18">J41-J40</f>
        <v>0</v>
      </c>
      <c r="L41" s="8"/>
      <c r="M41">
        <f ca="1">COUNTIF(N$4:N$33,"&lt; 0")</f>
        <v>0</v>
      </c>
      <c r="N41" s="25">
        <f t="shared" ref="N41:N46" ca="1" si="19">M41-M40</f>
        <v>0</v>
      </c>
      <c r="O41" s="8"/>
      <c r="P41">
        <f ca="1">COUNTIF(Q$4:Q$33,"&lt; 0")</f>
        <v>0</v>
      </c>
      <c r="Q41" s="25">
        <f t="shared" ref="Q41:Q46" ca="1" si="20">P41-P40</f>
        <v>0</v>
      </c>
      <c r="R41" s="8"/>
      <c r="S41">
        <f ca="1">COUNTIF(T$4:T$33,"&lt; 0")</f>
        <v>1</v>
      </c>
      <c r="T41" s="25">
        <f t="shared" ca="1" si="16"/>
        <v>1</v>
      </c>
    </row>
    <row r="42" spans="4:21" x14ac:dyDescent="0.25">
      <c r="D42" s="39"/>
      <c r="E42" s="32">
        <v>20</v>
      </c>
      <c r="F42" s="8"/>
      <c r="G42">
        <f ca="1">COUNTIF(H$4:H$33,"&lt; 20")</f>
        <v>0</v>
      </c>
      <c r="H42" s="25">
        <f t="shared" ca="1" si="17"/>
        <v>0</v>
      </c>
      <c r="I42" s="8"/>
      <c r="J42">
        <f ca="1">COUNTIF(K$4:K$33,"&lt; 20")</f>
        <v>0</v>
      </c>
      <c r="K42" s="25">
        <f t="shared" ca="1" si="18"/>
        <v>0</v>
      </c>
      <c r="L42" s="8"/>
      <c r="M42">
        <f ca="1">COUNTIF(N$4:N$33,"&lt; 20")</f>
        <v>1</v>
      </c>
      <c r="N42" s="25">
        <f t="shared" ca="1" si="19"/>
        <v>1</v>
      </c>
      <c r="O42" s="8"/>
      <c r="P42">
        <f ca="1">COUNTIF(Q$4:Q$33,"&lt; 20")</f>
        <v>3</v>
      </c>
      <c r="Q42" s="25">
        <f t="shared" ca="1" si="20"/>
        <v>3</v>
      </c>
      <c r="R42" s="8"/>
      <c r="S42">
        <f ca="1">COUNTIF(T$4:T$33,"&lt; 20")</f>
        <v>7</v>
      </c>
      <c r="T42" s="25">
        <f t="shared" ca="1" si="16"/>
        <v>6</v>
      </c>
    </row>
    <row r="43" spans="4:21" x14ac:dyDescent="0.25">
      <c r="D43" s="39"/>
      <c r="E43" s="32">
        <v>40</v>
      </c>
      <c r="F43" s="8"/>
      <c r="G43">
        <f ca="1">COUNTIF(H$4:H$33,"&lt; 40")</f>
        <v>1</v>
      </c>
      <c r="H43" s="25">
        <f t="shared" ca="1" si="17"/>
        <v>1</v>
      </c>
      <c r="I43" s="8"/>
      <c r="J43">
        <f ca="1">COUNTIF(K$4:K$33,"&lt; 40")</f>
        <v>2</v>
      </c>
      <c r="K43" s="25">
        <f t="shared" ca="1" si="18"/>
        <v>2</v>
      </c>
      <c r="L43" s="8"/>
      <c r="M43">
        <f ca="1">COUNTIF(N$4:N$33,"&lt; 40")</f>
        <v>7</v>
      </c>
      <c r="N43" s="25">
        <f t="shared" ca="1" si="19"/>
        <v>6</v>
      </c>
      <c r="O43" s="8"/>
      <c r="P43">
        <f ca="1">COUNTIF(Q$4:Q$33,"&lt; 40")</f>
        <v>8</v>
      </c>
      <c r="Q43" s="25">
        <f t="shared" ca="1" si="20"/>
        <v>5</v>
      </c>
      <c r="R43" s="8"/>
      <c r="S43">
        <f ca="1">COUNTIF(T$4:T$33,"&lt; 40")</f>
        <v>13</v>
      </c>
      <c r="T43" s="25">
        <f t="shared" ca="1" si="16"/>
        <v>6</v>
      </c>
    </row>
    <row r="44" spans="4:21" x14ac:dyDescent="0.25">
      <c r="D44" s="39"/>
      <c r="E44" s="32">
        <v>60</v>
      </c>
      <c r="F44" s="8"/>
      <c r="G44">
        <f ca="1">COUNTIF(H$4:H$33,"&lt; 60")</f>
        <v>30</v>
      </c>
      <c r="H44" s="25">
        <f t="shared" ca="1" si="17"/>
        <v>29</v>
      </c>
      <c r="I44" s="8"/>
      <c r="J44">
        <f ca="1">COUNTIF(K$4:K$33,"&lt; 60")</f>
        <v>30</v>
      </c>
      <c r="K44" s="25">
        <f t="shared" ca="1" si="18"/>
        <v>28</v>
      </c>
      <c r="L44" s="8"/>
      <c r="M44">
        <f ca="1">COUNTIF(N$4:N$33,"&lt; 60")</f>
        <v>10</v>
      </c>
      <c r="N44" s="25">
        <f t="shared" ca="1" si="19"/>
        <v>3</v>
      </c>
      <c r="O44" s="8"/>
      <c r="P44">
        <f ca="1">COUNTIF(Q$4:Q$33,"&lt; 60")</f>
        <v>21</v>
      </c>
      <c r="Q44" s="25">
        <f t="shared" ca="1" si="20"/>
        <v>13</v>
      </c>
      <c r="R44" s="8"/>
      <c r="S44">
        <f ca="1">COUNTIF(T$4:T$33,"&lt; 60")</f>
        <v>22</v>
      </c>
      <c r="T44" s="25">
        <f t="shared" ca="1" si="16"/>
        <v>9</v>
      </c>
    </row>
    <row r="45" spans="4:21" x14ac:dyDescent="0.25">
      <c r="D45" s="39"/>
      <c r="E45" s="32">
        <v>80</v>
      </c>
      <c r="F45" s="8"/>
      <c r="G45">
        <f ca="1">COUNTIF(H$4:H$33,"&lt; 80")</f>
        <v>30</v>
      </c>
      <c r="H45" s="25">
        <f t="shared" ca="1" si="17"/>
        <v>0</v>
      </c>
      <c r="I45" s="8"/>
      <c r="J45">
        <f ca="1">COUNTIF(K$4:K$33,"&lt; 80")</f>
        <v>30</v>
      </c>
      <c r="K45" s="25">
        <f t="shared" ca="1" si="18"/>
        <v>0</v>
      </c>
      <c r="L45" s="8"/>
      <c r="M45">
        <f ca="1">COUNTIF(N$4:N$33,"&lt; 80")</f>
        <v>30</v>
      </c>
      <c r="N45" s="25">
        <f t="shared" ca="1" si="19"/>
        <v>20</v>
      </c>
      <c r="O45" s="8"/>
      <c r="P45">
        <f ca="1">COUNTIF(Q$4:Q$33,"&lt; 80")</f>
        <v>30</v>
      </c>
      <c r="Q45" s="25">
        <f t="shared" ca="1" si="20"/>
        <v>9</v>
      </c>
      <c r="R45" s="8"/>
      <c r="S45">
        <f ca="1">COUNTIF(T$4:T$33,"&lt; 80")</f>
        <v>30</v>
      </c>
      <c r="T45" s="25">
        <f t="shared" ca="1" si="16"/>
        <v>8</v>
      </c>
    </row>
    <row r="46" spans="4:21" ht="13.8" thickBot="1" x14ac:dyDescent="0.3">
      <c r="D46" s="40"/>
      <c r="E46" s="33">
        <v>100</v>
      </c>
      <c r="F46" s="10"/>
      <c r="G46" s="34">
        <f ca="1">COUNTIF(H$4:H$33,"&lt; 100")</f>
        <v>30</v>
      </c>
      <c r="H46" s="26">
        <f t="shared" ca="1" si="17"/>
        <v>0</v>
      </c>
      <c r="I46" s="10"/>
      <c r="J46" s="34">
        <f ca="1">COUNTIF(K$4:K$33,"&lt; 100")</f>
        <v>30</v>
      </c>
      <c r="K46" s="26">
        <f t="shared" ca="1" si="18"/>
        <v>0</v>
      </c>
      <c r="L46" s="10"/>
      <c r="M46" s="34">
        <f ca="1">COUNTIF(N$4:N$33,"&lt; 100")</f>
        <v>30</v>
      </c>
      <c r="N46" s="26">
        <f t="shared" ca="1" si="19"/>
        <v>0</v>
      </c>
      <c r="O46" s="10"/>
      <c r="P46" s="34">
        <f ca="1">COUNTIF(Q$4:Q$33,"&lt; 100")</f>
        <v>30</v>
      </c>
      <c r="Q46" s="26">
        <f t="shared" ca="1" si="20"/>
        <v>0</v>
      </c>
      <c r="R46" s="10"/>
      <c r="S46" s="34">
        <f ca="1">COUNTIF(T$4:T$33,"&lt; 100")</f>
        <v>30</v>
      </c>
      <c r="T46" s="26">
        <f t="shared" ca="1" si="16"/>
        <v>0</v>
      </c>
    </row>
    <row r="51" spans="21:21" x14ac:dyDescent="0.25"/>
  </sheetData>
  <mergeCells count="21">
    <mergeCell ref="R2:S2"/>
    <mergeCell ref="R34:S34"/>
    <mergeCell ref="R35:S35"/>
    <mergeCell ref="L2:M2"/>
    <mergeCell ref="L34:M34"/>
    <mergeCell ref="L35:M35"/>
    <mergeCell ref="O2:P2"/>
    <mergeCell ref="O34:P34"/>
    <mergeCell ref="O35:P35"/>
    <mergeCell ref="F34:G34"/>
    <mergeCell ref="F35:G35"/>
    <mergeCell ref="F2:G2"/>
    <mergeCell ref="I2:J2"/>
    <mergeCell ref="I34:J34"/>
    <mergeCell ref="I35:J35"/>
    <mergeCell ref="D38:D46"/>
    <mergeCell ref="R36:S36"/>
    <mergeCell ref="F36:G36"/>
    <mergeCell ref="I36:J36"/>
    <mergeCell ref="L36:M36"/>
    <mergeCell ref="O36:P36"/>
  </mergeCells>
  <phoneticPr fontId="2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A885C8414A14B9E54CC42ABD36EB5" ma:contentTypeVersion="10" ma:contentTypeDescription="Create a new document." ma:contentTypeScope="" ma:versionID="97ff833b367a7d92c64f02db3009b0df">
  <xsd:schema xmlns:xsd="http://www.w3.org/2001/XMLSchema" xmlns:xs="http://www.w3.org/2001/XMLSchema" xmlns:p="http://schemas.microsoft.com/office/2006/metadata/properties" xmlns:ns2="b0100086-46af-45a7-bc2a-d8c0259a7e5b" xmlns:ns3="7a793cb1-ab48-4fe8-a534-b5619ea9c631" targetNamespace="http://schemas.microsoft.com/office/2006/metadata/properties" ma:root="true" ma:fieldsID="470ae9c1dce0dc850a167edae2ac11f2" ns2:_="" ns3:_="">
    <xsd:import namespace="b0100086-46af-45a7-bc2a-d8c0259a7e5b"/>
    <xsd:import namespace="7a793cb1-ab48-4fe8-a534-b5619ea9c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00086-46af-45a7-bc2a-d8c0259a7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93cb1-ab48-4fe8-a534-b5619ea9c6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1b1c34-2556-49fa-aac9-67da288a5c74}" ma:internalName="TaxCatchAll" ma:showField="CatchAllData" ma:web="7a793cb1-ab48-4fe8-a534-b5619ea9c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100086-46af-45a7-bc2a-d8c0259a7e5b">
      <Terms xmlns="http://schemas.microsoft.com/office/infopath/2007/PartnerControls"/>
    </lcf76f155ced4ddcb4097134ff3c332f>
    <TaxCatchAll xmlns="7a793cb1-ab48-4fe8-a534-b5619ea9c631" xsi:nil="true"/>
  </documentManagement>
</p:properties>
</file>

<file path=customXml/itemProps1.xml><?xml version="1.0" encoding="utf-8"?>
<ds:datastoreItem xmlns:ds="http://schemas.openxmlformats.org/officeDocument/2006/customXml" ds:itemID="{C3E81658-FD73-4F59-8E31-F3BFBCE0F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1673BC-4F80-41F4-9C4C-4C5807C17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100086-46af-45a7-bc2a-d8c0259a7e5b"/>
    <ds:schemaRef ds:uri="7a793cb1-ab48-4fe8-a534-b5619ea9c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7783FB-2D64-43DF-BBFA-656E641CFECB}">
  <ds:schemaRefs>
    <ds:schemaRef ds:uri="http://schemas.microsoft.com/office/2006/metadata/properties"/>
    <ds:schemaRef ds:uri="http://schemas.microsoft.com/office/infopath/2007/PartnerControls"/>
    <ds:schemaRef ds:uri="b0100086-46af-45a7-bc2a-d8c0259a7e5b"/>
    <ds:schemaRef ds:uri="7a793cb1-ab48-4fe8-a534-b5619ea9c6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Newsvendor Problem</dc:title>
  <dc:creator>Kelton/Sadowski/Sturrock</dc:creator>
  <cp:lastModifiedBy>Nagaraju, Vidhyashree</cp:lastModifiedBy>
  <dcterms:created xsi:type="dcterms:W3CDTF">2006-03-30T02:32:45Z</dcterms:created>
  <dcterms:modified xsi:type="dcterms:W3CDTF">2025-11-20T17:12:58Z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0x010100023A885C8414A14B9E54CC42ABD36EB5</vt:lpwstr>
  </property>
</Properties>
</file>